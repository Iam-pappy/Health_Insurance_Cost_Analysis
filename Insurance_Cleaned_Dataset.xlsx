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fola\OneDrive\Documents\"/>
    </mc:Choice>
  </mc:AlternateContent>
  <xr:revisionPtr revIDLastSave="0" documentId="8_{1F7454B9-E358-42F3-BED3-F30F4D30C0FA}" xr6:coauthVersionLast="47" xr6:coauthVersionMax="47" xr10:uidLastSave="{00000000-0000-0000-0000-000000000000}"/>
  <bookViews>
    <workbookView xWindow="-110" yWindow="-110" windowWidth="19420" windowHeight="10300" xr2:uid="{72569BAD-8677-486C-8845-6DF23D95FD1F}"/>
  </bookViews>
  <sheets>
    <sheet name="Insurance 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I2" i="1"/>
  <c r="J2" i="1"/>
  <c r="K2" i="1"/>
  <c r="H3" i="1"/>
  <c r="I3" i="1"/>
  <c r="J3" i="1"/>
  <c r="K3" i="1"/>
  <c r="H4" i="1"/>
  <c r="I4" i="1"/>
  <c r="J4" i="1"/>
  <c r="K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K8" i="1"/>
  <c r="H9" i="1"/>
  <c r="I9" i="1"/>
  <c r="J9" i="1"/>
  <c r="K9" i="1"/>
  <c r="H10" i="1"/>
  <c r="I10" i="1"/>
  <c r="J10" i="1"/>
  <c r="K10" i="1"/>
  <c r="H11" i="1"/>
  <c r="I11" i="1"/>
  <c r="J11" i="1"/>
  <c r="K11" i="1"/>
  <c r="H12" i="1"/>
  <c r="I12" i="1"/>
  <c r="J12" i="1"/>
  <c r="K12" i="1"/>
  <c r="H13" i="1"/>
  <c r="I13" i="1"/>
  <c r="J13" i="1"/>
  <c r="K13" i="1"/>
  <c r="H14" i="1"/>
  <c r="I14" i="1"/>
  <c r="J14" i="1"/>
  <c r="K14" i="1"/>
  <c r="H15" i="1"/>
  <c r="I15" i="1"/>
  <c r="J15" i="1"/>
  <c r="K15" i="1"/>
  <c r="H16" i="1"/>
  <c r="I16" i="1"/>
  <c r="J16" i="1"/>
  <c r="K16" i="1"/>
  <c r="H17" i="1"/>
  <c r="I17" i="1"/>
  <c r="J17" i="1"/>
  <c r="K17" i="1"/>
  <c r="H18" i="1"/>
  <c r="I18" i="1"/>
  <c r="J18" i="1"/>
  <c r="K18" i="1"/>
  <c r="H19" i="1"/>
  <c r="I19" i="1"/>
  <c r="J19" i="1"/>
  <c r="K19" i="1"/>
  <c r="H20" i="1"/>
  <c r="I20" i="1"/>
  <c r="J20" i="1"/>
  <c r="K20" i="1"/>
  <c r="H21" i="1"/>
  <c r="I21" i="1"/>
  <c r="J21" i="1"/>
  <c r="K21" i="1"/>
  <c r="H22" i="1"/>
  <c r="I22" i="1"/>
  <c r="J22" i="1"/>
  <c r="K22" i="1"/>
  <c r="H23" i="1"/>
  <c r="I23" i="1"/>
  <c r="J23" i="1"/>
  <c r="K23" i="1"/>
  <c r="H24" i="1"/>
  <c r="I24" i="1"/>
  <c r="J24" i="1"/>
  <c r="K24" i="1"/>
  <c r="H25" i="1"/>
  <c r="I25" i="1"/>
  <c r="J25" i="1"/>
  <c r="K25" i="1"/>
  <c r="H26" i="1"/>
  <c r="I26" i="1"/>
  <c r="J26" i="1"/>
  <c r="K26" i="1"/>
  <c r="H27" i="1"/>
  <c r="I27" i="1"/>
  <c r="J27" i="1"/>
  <c r="K27" i="1"/>
  <c r="H28" i="1"/>
  <c r="I28" i="1"/>
  <c r="J28" i="1"/>
  <c r="K28" i="1"/>
  <c r="H29" i="1"/>
  <c r="I29" i="1"/>
  <c r="J29" i="1"/>
  <c r="K29" i="1"/>
  <c r="H30" i="1"/>
  <c r="I30" i="1"/>
  <c r="J30" i="1"/>
  <c r="K30" i="1"/>
  <c r="H31" i="1"/>
  <c r="I31" i="1"/>
  <c r="J31" i="1"/>
  <c r="K31" i="1"/>
  <c r="H32" i="1"/>
  <c r="I32" i="1"/>
  <c r="J32" i="1"/>
  <c r="K32" i="1"/>
  <c r="H33" i="1"/>
  <c r="I33" i="1"/>
  <c r="J33" i="1"/>
  <c r="K33" i="1"/>
  <c r="H34" i="1"/>
  <c r="I34" i="1"/>
  <c r="J34" i="1"/>
  <c r="K34" i="1"/>
  <c r="H35" i="1"/>
  <c r="I35" i="1"/>
  <c r="J35" i="1"/>
  <c r="K35" i="1"/>
  <c r="H36" i="1"/>
  <c r="I36" i="1"/>
  <c r="J36" i="1"/>
  <c r="K36" i="1"/>
  <c r="H37" i="1"/>
  <c r="I37" i="1"/>
  <c r="J37" i="1"/>
  <c r="K37" i="1"/>
  <c r="H38" i="1"/>
  <c r="I38" i="1"/>
  <c r="J38" i="1"/>
  <c r="K38" i="1"/>
  <c r="H39" i="1"/>
  <c r="I39" i="1"/>
  <c r="J39" i="1"/>
  <c r="K39" i="1"/>
  <c r="H40" i="1"/>
  <c r="I40" i="1"/>
  <c r="J40" i="1"/>
  <c r="K40" i="1"/>
  <c r="H41" i="1"/>
  <c r="I41" i="1"/>
  <c r="J41" i="1"/>
  <c r="K41" i="1"/>
  <c r="H42" i="1"/>
  <c r="I42" i="1"/>
  <c r="J42" i="1"/>
  <c r="K42" i="1"/>
  <c r="H43" i="1"/>
  <c r="I43" i="1"/>
  <c r="J43" i="1"/>
  <c r="K43" i="1"/>
  <c r="H44" i="1"/>
  <c r="I44" i="1"/>
  <c r="J44" i="1"/>
  <c r="K44" i="1"/>
  <c r="H45" i="1"/>
  <c r="I45" i="1"/>
  <c r="J45" i="1"/>
  <c r="K45" i="1"/>
  <c r="H46" i="1"/>
  <c r="I46" i="1"/>
  <c r="J46" i="1"/>
  <c r="K46" i="1"/>
  <c r="H47" i="1"/>
  <c r="I47" i="1"/>
  <c r="J47" i="1"/>
  <c r="K47" i="1"/>
  <c r="H48" i="1"/>
  <c r="I48" i="1"/>
  <c r="J48" i="1"/>
  <c r="K48" i="1"/>
  <c r="H49" i="1"/>
  <c r="I49" i="1"/>
  <c r="J49" i="1"/>
  <c r="K49" i="1"/>
  <c r="H50" i="1"/>
  <c r="I50" i="1"/>
  <c r="J50" i="1"/>
  <c r="K50" i="1"/>
  <c r="H51" i="1"/>
  <c r="I51" i="1"/>
  <c r="J51" i="1"/>
  <c r="K51" i="1"/>
  <c r="H52" i="1"/>
  <c r="I52" i="1"/>
  <c r="J52" i="1"/>
  <c r="K52" i="1"/>
  <c r="H53" i="1"/>
  <c r="I53" i="1"/>
  <c r="J53" i="1"/>
  <c r="K53" i="1"/>
  <c r="H54" i="1"/>
  <c r="I54" i="1"/>
  <c r="J54" i="1"/>
  <c r="K54" i="1"/>
  <c r="H55" i="1"/>
  <c r="I55" i="1"/>
  <c r="J55" i="1"/>
  <c r="K55" i="1"/>
  <c r="H56" i="1"/>
  <c r="I56" i="1"/>
  <c r="J56" i="1"/>
  <c r="K56" i="1"/>
  <c r="H57" i="1"/>
  <c r="I57" i="1"/>
  <c r="J57" i="1"/>
  <c r="K57" i="1"/>
  <c r="H58" i="1"/>
  <c r="I58" i="1"/>
  <c r="J58" i="1"/>
  <c r="K58" i="1"/>
  <c r="H59" i="1"/>
  <c r="I59" i="1"/>
  <c r="J59" i="1"/>
  <c r="K59" i="1"/>
  <c r="H60" i="1"/>
  <c r="I60" i="1"/>
  <c r="J60" i="1"/>
  <c r="K60" i="1"/>
  <c r="H61" i="1"/>
  <c r="I61" i="1"/>
  <c r="J61" i="1"/>
  <c r="K61" i="1"/>
  <c r="H62" i="1"/>
  <c r="I62" i="1"/>
  <c r="J62" i="1"/>
  <c r="K62" i="1"/>
  <c r="H63" i="1"/>
  <c r="I63" i="1"/>
  <c r="J63" i="1"/>
  <c r="K63" i="1"/>
  <c r="H64" i="1"/>
  <c r="I64" i="1"/>
  <c r="J64" i="1"/>
  <c r="K64" i="1"/>
  <c r="H65" i="1"/>
  <c r="I65" i="1"/>
  <c r="J65" i="1"/>
  <c r="K65" i="1"/>
  <c r="H66" i="1"/>
  <c r="I66" i="1"/>
  <c r="J66" i="1"/>
  <c r="K66" i="1"/>
  <c r="H67" i="1"/>
  <c r="I67" i="1"/>
  <c r="J67" i="1"/>
  <c r="K67" i="1"/>
  <c r="H68" i="1"/>
  <c r="I68" i="1"/>
  <c r="J68" i="1"/>
  <c r="K68" i="1"/>
  <c r="H69" i="1"/>
  <c r="I69" i="1"/>
  <c r="J69" i="1"/>
  <c r="K69" i="1"/>
  <c r="H70" i="1"/>
  <c r="I70" i="1"/>
  <c r="J70" i="1"/>
  <c r="K70" i="1"/>
  <c r="H71" i="1"/>
  <c r="I71" i="1"/>
  <c r="J71" i="1"/>
  <c r="K71" i="1"/>
  <c r="H72" i="1"/>
  <c r="I72" i="1"/>
  <c r="J72" i="1"/>
  <c r="K72" i="1"/>
  <c r="H73" i="1"/>
  <c r="I73" i="1"/>
  <c r="J73" i="1"/>
  <c r="K73" i="1"/>
  <c r="H74" i="1"/>
  <c r="I74" i="1"/>
  <c r="J74" i="1"/>
  <c r="K74" i="1"/>
  <c r="H75" i="1"/>
  <c r="I75" i="1"/>
  <c r="J75" i="1"/>
  <c r="K75" i="1"/>
  <c r="H76" i="1"/>
  <c r="I76" i="1"/>
  <c r="J76" i="1"/>
  <c r="K76" i="1"/>
  <c r="H77" i="1"/>
  <c r="I77" i="1"/>
  <c r="J77" i="1"/>
  <c r="K77" i="1"/>
  <c r="H78" i="1"/>
  <c r="I78" i="1"/>
  <c r="J78" i="1"/>
  <c r="K78" i="1"/>
  <c r="H79" i="1"/>
  <c r="I79" i="1"/>
  <c r="J79" i="1"/>
  <c r="K79" i="1"/>
  <c r="H80" i="1"/>
  <c r="I80" i="1"/>
  <c r="J80" i="1"/>
  <c r="K80" i="1"/>
  <c r="H81" i="1"/>
  <c r="I81" i="1"/>
  <c r="J81" i="1"/>
  <c r="K81" i="1"/>
  <c r="H82" i="1"/>
  <c r="I82" i="1"/>
  <c r="J82" i="1"/>
  <c r="K82" i="1"/>
  <c r="H83" i="1"/>
  <c r="I83" i="1"/>
  <c r="J83" i="1"/>
  <c r="K83" i="1"/>
  <c r="H84" i="1"/>
  <c r="I84" i="1"/>
  <c r="J84" i="1"/>
  <c r="K84" i="1"/>
  <c r="H85" i="1"/>
  <c r="I85" i="1"/>
  <c r="J85" i="1"/>
  <c r="K85" i="1"/>
  <c r="H86" i="1"/>
  <c r="I86" i="1"/>
  <c r="J86" i="1"/>
  <c r="K86" i="1"/>
  <c r="H87" i="1"/>
  <c r="I87" i="1"/>
  <c r="J87" i="1"/>
  <c r="K87" i="1"/>
  <c r="H88" i="1"/>
  <c r="I88" i="1"/>
  <c r="J88" i="1"/>
  <c r="K88" i="1"/>
  <c r="H89" i="1"/>
  <c r="I89" i="1"/>
  <c r="J89" i="1"/>
  <c r="K89" i="1"/>
  <c r="H90" i="1"/>
  <c r="I90" i="1"/>
  <c r="J90" i="1"/>
  <c r="K90" i="1"/>
  <c r="H91" i="1"/>
  <c r="I91" i="1"/>
  <c r="J91" i="1"/>
  <c r="K91" i="1"/>
  <c r="H92" i="1"/>
  <c r="I92" i="1"/>
  <c r="J92" i="1"/>
  <c r="K92" i="1"/>
  <c r="H93" i="1"/>
  <c r="I93" i="1"/>
  <c r="J93" i="1"/>
  <c r="K93" i="1"/>
  <c r="H94" i="1"/>
  <c r="I94" i="1"/>
  <c r="J94" i="1"/>
  <c r="K94" i="1"/>
  <c r="H95" i="1"/>
  <c r="I95" i="1"/>
  <c r="J95" i="1"/>
  <c r="K95" i="1"/>
  <c r="H96" i="1"/>
  <c r="I96" i="1"/>
  <c r="J96" i="1"/>
  <c r="K96" i="1"/>
  <c r="H97" i="1"/>
  <c r="I97" i="1"/>
  <c r="J97" i="1"/>
  <c r="K97" i="1"/>
  <c r="H98" i="1"/>
  <c r="I98" i="1"/>
  <c r="J98" i="1"/>
  <c r="K98" i="1"/>
  <c r="H99" i="1"/>
  <c r="I99" i="1"/>
  <c r="J99" i="1"/>
  <c r="K99" i="1"/>
  <c r="H100" i="1"/>
  <c r="I100" i="1"/>
  <c r="J100" i="1"/>
  <c r="K100" i="1"/>
  <c r="H101" i="1"/>
  <c r="I101" i="1"/>
  <c r="J101" i="1"/>
  <c r="K101" i="1"/>
  <c r="H102" i="1"/>
  <c r="I102" i="1"/>
  <c r="J102" i="1"/>
  <c r="K102" i="1"/>
  <c r="H103" i="1"/>
  <c r="I103" i="1"/>
  <c r="J103" i="1"/>
  <c r="K103" i="1"/>
  <c r="H104" i="1"/>
  <c r="I104" i="1"/>
  <c r="J104" i="1"/>
  <c r="K104" i="1"/>
  <c r="H105" i="1"/>
  <c r="I105" i="1"/>
  <c r="J105" i="1"/>
  <c r="K105" i="1"/>
  <c r="H106" i="1"/>
  <c r="I106" i="1"/>
  <c r="J106" i="1"/>
  <c r="K106" i="1"/>
  <c r="H107" i="1"/>
  <c r="I107" i="1"/>
  <c r="J107" i="1"/>
  <c r="K107" i="1"/>
  <c r="H108" i="1"/>
  <c r="I108" i="1"/>
  <c r="J108" i="1"/>
  <c r="K108" i="1"/>
  <c r="H109" i="1"/>
  <c r="I109" i="1"/>
  <c r="J109" i="1"/>
  <c r="K109" i="1"/>
  <c r="H110" i="1"/>
  <c r="I110" i="1"/>
  <c r="J110" i="1"/>
  <c r="K110" i="1"/>
  <c r="H111" i="1"/>
  <c r="I111" i="1"/>
  <c r="J111" i="1"/>
  <c r="K111" i="1"/>
  <c r="H112" i="1"/>
  <c r="I112" i="1"/>
  <c r="J112" i="1"/>
  <c r="K112" i="1"/>
  <c r="H113" i="1"/>
  <c r="I113" i="1"/>
  <c r="J113" i="1"/>
  <c r="K113" i="1"/>
  <c r="H114" i="1"/>
  <c r="I114" i="1"/>
  <c r="J114" i="1"/>
  <c r="K114" i="1"/>
  <c r="H115" i="1"/>
  <c r="I115" i="1"/>
  <c r="J115" i="1"/>
  <c r="K115" i="1"/>
  <c r="H116" i="1"/>
  <c r="I116" i="1"/>
  <c r="J116" i="1"/>
  <c r="K116" i="1"/>
  <c r="H117" i="1"/>
  <c r="I117" i="1"/>
  <c r="J117" i="1"/>
  <c r="K117" i="1"/>
  <c r="H118" i="1"/>
  <c r="I118" i="1"/>
  <c r="J118" i="1"/>
  <c r="K118" i="1"/>
  <c r="H119" i="1"/>
  <c r="I119" i="1"/>
  <c r="J119" i="1"/>
  <c r="K119" i="1"/>
  <c r="H120" i="1"/>
  <c r="I120" i="1"/>
  <c r="J120" i="1"/>
  <c r="K120" i="1"/>
  <c r="H121" i="1"/>
  <c r="I121" i="1"/>
  <c r="J121" i="1"/>
  <c r="K121" i="1"/>
  <c r="H122" i="1"/>
  <c r="I122" i="1"/>
  <c r="J122" i="1"/>
  <c r="K122" i="1"/>
  <c r="H123" i="1"/>
  <c r="I123" i="1"/>
  <c r="J123" i="1"/>
  <c r="K123" i="1"/>
  <c r="H124" i="1"/>
  <c r="I124" i="1"/>
  <c r="J124" i="1"/>
  <c r="K124" i="1"/>
  <c r="H125" i="1"/>
  <c r="I125" i="1"/>
  <c r="J125" i="1"/>
  <c r="K125" i="1"/>
  <c r="H126" i="1"/>
  <c r="I126" i="1"/>
  <c r="J126" i="1"/>
  <c r="K126" i="1"/>
  <c r="H127" i="1"/>
  <c r="I127" i="1"/>
  <c r="J127" i="1"/>
  <c r="K127" i="1"/>
  <c r="H128" i="1"/>
  <c r="I128" i="1"/>
  <c r="J128" i="1"/>
  <c r="K128" i="1"/>
  <c r="H129" i="1"/>
  <c r="I129" i="1"/>
  <c r="J129" i="1"/>
  <c r="K129" i="1"/>
  <c r="H130" i="1"/>
  <c r="I130" i="1"/>
  <c r="J130" i="1"/>
  <c r="K130" i="1"/>
  <c r="H131" i="1"/>
  <c r="I131" i="1"/>
  <c r="J131" i="1"/>
  <c r="K131" i="1"/>
  <c r="H132" i="1"/>
  <c r="I132" i="1"/>
  <c r="J132" i="1"/>
  <c r="K132" i="1"/>
  <c r="H133" i="1"/>
  <c r="I133" i="1"/>
  <c r="J133" i="1"/>
  <c r="K133" i="1"/>
  <c r="H134" i="1"/>
  <c r="I134" i="1"/>
  <c r="J134" i="1"/>
  <c r="K134" i="1"/>
  <c r="H135" i="1"/>
  <c r="I135" i="1"/>
  <c r="J135" i="1"/>
  <c r="K135" i="1"/>
  <c r="H136" i="1"/>
  <c r="I136" i="1"/>
  <c r="J136" i="1"/>
  <c r="K136" i="1"/>
  <c r="H137" i="1"/>
  <c r="I137" i="1"/>
  <c r="J137" i="1"/>
  <c r="K137" i="1"/>
  <c r="H138" i="1"/>
  <c r="I138" i="1"/>
  <c r="J138" i="1"/>
  <c r="K138" i="1"/>
  <c r="H139" i="1"/>
  <c r="I139" i="1"/>
  <c r="J139" i="1"/>
  <c r="K139" i="1"/>
  <c r="H140" i="1"/>
  <c r="I140" i="1"/>
  <c r="J140" i="1"/>
  <c r="K140" i="1"/>
  <c r="H141" i="1"/>
  <c r="I141" i="1"/>
  <c r="J141" i="1"/>
  <c r="K141" i="1"/>
  <c r="H142" i="1"/>
  <c r="I142" i="1"/>
  <c r="J142" i="1"/>
  <c r="K142" i="1"/>
  <c r="H143" i="1"/>
  <c r="I143" i="1"/>
  <c r="J143" i="1"/>
  <c r="K143" i="1"/>
  <c r="H144" i="1"/>
  <c r="I144" i="1"/>
  <c r="J144" i="1"/>
  <c r="K144" i="1"/>
  <c r="H145" i="1"/>
  <c r="I145" i="1"/>
  <c r="J145" i="1"/>
  <c r="K145" i="1"/>
  <c r="H146" i="1"/>
  <c r="I146" i="1"/>
  <c r="J146" i="1"/>
  <c r="K146" i="1"/>
  <c r="H147" i="1"/>
  <c r="I147" i="1"/>
  <c r="J147" i="1"/>
  <c r="K147" i="1"/>
  <c r="H148" i="1"/>
  <c r="I148" i="1"/>
  <c r="J148" i="1"/>
  <c r="K148" i="1"/>
  <c r="H149" i="1"/>
  <c r="I149" i="1"/>
  <c r="J149" i="1"/>
  <c r="K149" i="1"/>
  <c r="H150" i="1"/>
  <c r="I150" i="1"/>
  <c r="J150" i="1"/>
  <c r="K150" i="1"/>
  <c r="H151" i="1"/>
  <c r="I151" i="1"/>
  <c r="J151" i="1"/>
  <c r="K151" i="1"/>
  <c r="H152" i="1"/>
  <c r="I152" i="1"/>
  <c r="J152" i="1"/>
  <c r="K152" i="1"/>
  <c r="H153" i="1"/>
  <c r="I153" i="1"/>
  <c r="J153" i="1"/>
  <c r="K153" i="1"/>
  <c r="H154" i="1"/>
  <c r="I154" i="1"/>
  <c r="J154" i="1"/>
  <c r="K154" i="1"/>
  <c r="H155" i="1"/>
  <c r="I155" i="1"/>
  <c r="J155" i="1"/>
  <c r="K155" i="1"/>
  <c r="H156" i="1"/>
  <c r="I156" i="1"/>
  <c r="J156" i="1"/>
  <c r="K156" i="1"/>
  <c r="H157" i="1"/>
  <c r="I157" i="1"/>
  <c r="J157" i="1"/>
  <c r="K157" i="1"/>
  <c r="H158" i="1"/>
  <c r="I158" i="1"/>
  <c r="J158" i="1"/>
  <c r="K158" i="1"/>
  <c r="H159" i="1"/>
  <c r="I159" i="1"/>
  <c r="J159" i="1"/>
  <c r="K159" i="1"/>
  <c r="H160" i="1"/>
  <c r="I160" i="1"/>
  <c r="J160" i="1"/>
  <c r="K160" i="1"/>
  <c r="H161" i="1"/>
  <c r="I161" i="1"/>
  <c r="J161" i="1"/>
  <c r="K161" i="1"/>
  <c r="H162" i="1"/>
  <c r="I162" i="1"/>
  <c r="J162" i="1"/>
  <c r="K162" i="1"/>
  <c r="H163" i="1"/>
  <c r="I163" i="1"/>
  <c r="J163" i="1"/>
  <c r="K163" i="1"/>
  <c r="H164" i="1"/>
  <c r="I164" i="1"/>
  <c r="J164" i="1"/>
  <c r="K164" i="1"/>
  <c r="H165" i="1"/>
  <c r="I165" i="1"/>
  <c r="J165" i="1"/>
  <c r="K165" i="1"/>
  <c r="H166" i="1"/>
  <c r="I166" i="1"/>
  <c r="J166" i="1"/>
  <c r="K166" i="1"/>
  <c r="H167" i="1"/>
  <c r="I167" i="1"/>
  <c r="J167" i="1"/>
  <c r="K167" i="1"/>
  <c r="H168" i="1"/>
  <c r="I168" i="1"/>
  <c r="J168" i="1"/>
  <c r="K168" i="1"/>
  <c r="H169" i="1"/>
  <c r="I169" i="1"/>
  <c r="J169" i="1"/>
  <c r="K169" i="1"/>
  <c r="H170" i="1"/>
  <c r="I170" i="1"/>
  <c r="J170" i="1"/>
  <c r="K170" i="1"/>
  <c r="H171" i="1"/>
  <c r="I171" i="1"/>
  <c r="J171" i="1"/>
  <c r="K171" i="1"/>
  <c r="H172" i="1"/>
  <c r="I172" i="1"/>
  <c r="J172" i="1"/>
  <c r="K172" i="1"/>
  <c r="H173" i="1"/>
  <c r="I173" i="1"/>
  <c r="J173" i="1"/>
  <c r="K173" i="1"/>
  <c r="H174" i="1"/>
  <c r="I174" i="1"/>
  <c r="J174" i="1"/>
  <c r="K174" i="1"/>
  <c r="H175" i="1"/>
  <c r="I175" i="1"/>
  <c r="J175" i="1"/>
  <c r="K175" i="1"/>
  <c r="H176" i="1"/>
  <c r="I176" i="1"/>
  <c r="J176" i="1"/>
  <c r="K176" i="1"/>
  <c r="H177" i="1"/>
  <c r="I177" i="1"/>
  <c r="J177" i="1"/>
  <c r="K177" i="1"/>
  <c r="H178" i="1"/>
  <c r="I178" i="1"/>
  <c r="J178" i="1"/>
  <c r="K178" i="1"/>
  <c r="H179" i="1"/>
  <c r="I179" i="1"/>
  <c r="J179" i="1"/>
  <c r="K179" i="1"/>
  <c r="H180" i="1"/>
  <c r="I180" i="1"/>
  <c r="J180" i="1"/>
  <c r="K180" i="1"/>
  <c r="H181" i="1"/>
  <c r="I181" i="1"/>
  <c r="J181" i="1"/>
  <c r="K181" i="1"/>
  <c r="H182" i="1"/>
  <c r="I182" i="1"/>
  <c r="J182" i="1"/>
  <c r="K182" i="1"/>
  <c r="H183" i="1"/>
  <c r="I183" i="1"/>
  <c r="J183" i="1"/>
  <c r="K183" i="1"/>
  <c r="H184" i="1"/>
  <c r="I184" i="1"/>
  <c r="J184" i="1"/>
  <c r="K184" i="1"/>
  <c r="H185" i="1"/>
  <c r="I185" i="1"/>
  <c r="J185" i="1"/>
  <c r="K185" i="1"/>
  <c r="H186" i="1"/>
  <c r="I186" i="1"/>
  <c r="J186" i="1"/>
  <c r="K186" i="1"/>
  <c r="H187" i="1"/>
  <c r="I187" i="1"/>
  <c r="J187" i="1"/>
  <c r="K187" i="1"/>
  <c r="H188" i="1"/>
  <c r="I188" i="1"/>
  <c r="J188" i="1"/>
  <c r="K188" i="1"/>
  <c r="H189" i="1"/>
  <c r="I189" i="1"/>
  <c r="J189" i="1"/>
  <c r="K189" i="1"/>
  <c r="H190" i="1"/>
  <c r="I190" i="1"/>
  <c r="J190" i="1"/>
  <c r="K190" i="1"/>
  <c r="H191" i="1"/>
  <c r="I191" i="1"/>
  <c r="J191" i="1"/>
  <c r="K191" i="1"/>
  <c r="H192" i="1"/>
  <c r="I192" i="1"/>
  <c r="J192" i="1"/>
  <c r="K192" i="1"/>
  <c r="H193" i="1"/>
  <c r="I193" i="1"/>
  <c r="J193" i="1"/>
  <c r="K193" i="1"/>
  <c r="H194" i="1"/>
  <c r="I194" i="1"/>
  <c r="J194" i="1"/>
  <c r="K194" i="1"/>
  <c r="H195" i="1"/>
  <c r="I195" i="1"/>
  <c r="J195" i="1"/>
  <c r="K195" i="1"/>
  <c r="H196" i="1"/>
  <c r="I196" i="1"/>
  <c r="J196" i="1"/>
  <c r="K196" i="1"/>
  <c r="H197" i="1"/>
  <c r="I197" i="1"/>
  <c r="J197" i="1"/>
  <c r="K197" i="1"/>
  <c r="H198" i="1"/>
  <c r="I198" i="1"/>
  <c r="J198" i="1"/>
  <c r="K198" i="1"/>
  <c r="H199" i="1"/>
  <c r="I199" i="1"/>
  <c r="J199" i="1"/>
  <c r="K199" i="1"/>
  <c r="H200" i="1"/>
  <c r="I200" i="1"/>
  <c r="J200" i="1"/>
  <c r="K200" i="1"/>
  <c r="H201" i="1"/>
  <c r="I201" i="1"/>
  <c r="J201" i="1"/>
  <c r="K201" i="1"/>
  <c r="H202" i="1"/>
  <c r="I202" i="1"/>
  <c r="J202" i="1"/>
  <c r="K202" i="1"/>
  <c r="H203" i="1"/>
  <c r="I203" i="1"/>
  <c r="J203" i="1"/>
  <c r="K203" i="1"/>
  <c r="H204" i="1"/>
  <c r="I204" i="1"/>
  <c r="J204" i="1"/>
  <c r="K204" i="1"/>
  <c r="H205" i="1"/>
  <c r="I205" i="1"/>
  <c r="J205" i="1"/>
  <c r="K205" i="1"/>
  <c r="H206" i="1"/>
  <c r="I206" i="1"/>
  <c r="J206" i="1"/>
  <c r="K206" i="1"/>
  <c r="H207" i="1"/>
  <c r="I207" i="1"/>
  <c r="J207" i="1"/>
  <c r="K207" i="1"/>
  <c r="H208" i="1"/>
  <c r="I208" i="1"/>
  <c r="J208" i="1"/>
  <c r="K208" i="1"/>
  <c r="H209" i="1"/>
  <c r="I209" i="1"/>
  <c r="J209" i="1"/>
  <c r="K209" i="1"/>
  <c r="H210" i="1"/>
  <c r="I210" i="1"/>
  <c r="J210" i="1"/>
  <c r="K210" i="1"/>
  <c r="H211" i="1"/>
  <c r="I211" i="1"/>
  <c r="J211" i="1"/>
  <c r="K211" i="1"/>
  <c r="H212" i="1"/>
  <c r="I212" i="1"/>
  <c r="J212" i="1"/>
  <c r="K212" i="1"/>
  <c r="H213" i="1"/>
  <c r="I213" i="1"/>
  <c r="J213" i="1"/>
  <c r="K213" i="1"/>
  <c r="H214" i="1"/>
  <c r="I214" i="1"/>
  <c r="J214" i="1"/>
  <c r="K214" i="1"/>
  <c r="H215" i="1"/>
  <c r="I215" i="1"/>
  <c r="J215" i="1"/>
  <c r="K215" i="1"/>
  <c r="H216" i="1"/>
  <c r="I216" i="1"/>
  <c r="J216" i="1"/>
  <c r="K216" i="1"/>
  <c r="H217" i="1"/>
  <c r="I217" i="1"/>
  <c r="J217" i="1"/>
  <c r="K217" i="1"/>
  <c r="H218" i="1"/>
  <c r="I218" i="1"/>
  <c r="J218" i="1"/>
  <c r="K218" i="1"/>
  <c r="H219" i="1"/>
  <c r="I219" i="1"/>
  <c r="J219" i="1"/>
  <c r="K219" i="1"/>
  <c r="H220" i="1"/>
  <c r="I220" i="1"/>
  <c r="J220" i="1"/>
  <c r="K220" i="1"/>
  <c r="H221" i="1"/>
  <c r="I221" i="1"/>
  <c r="J221" i="1"/>
  <c r="K221" i="1"/>
  <c r="H222" i="1"/>
  <c r="I222" i="1"/>
  <c r="J222" i="1"/>
  <c r="K222" i="1"/>
  <c r="H223" i="1"/>
  <c r="I223" i="1"/>
  <c r="J223" i="1"/>
  <c r="K223" i="1"/>
  <c r="H224" i="1"/>
  <c r="I224" i="1"/>
  <c r="J224" i="1"/>
  <c r="K224" i="1"/>
  <c r="H225" i="1"/>
  <c r="I225" i="1"/>
  <c r="J225" i="1"/>
  <c r="K225" i="1"/>
  <c r="H226" i="1"/>
  <c r="I226" i="1"/>
  <c r="J226" i="1"/>
  <c r="K226" i="1"/>
  <c r="H227" i="1"/>
  <c r="I227" i="1"/>
  <c r="J227" i="1"/>
  <c r="K227" i="1"/>
  <c r="H228" i="1"/>
  <c r="I228" i="1"/>
  <c r="J228" i="1"/>
  <c r="K228" i="1"/>
  <c r="H229" i="1"/>
  <c r="I229" i="1"/>
  <c r="J229" i="1"/>
  <c r="K229" i="1"/>
  <c r="H230" i="1"/>
  <c r="I230" i="1"/>
  <c r="J230" i="1"/>
  <c r="K230" i="1"/>
  <c r="H231" i="1"/>
  <c r="I231" i="1"/>
  <c r="J231" i="1"/>
  <c r="K231" i="1"/>
  <c r="H232" i="1"/>
  <c r="I232" i="1"/>
  <c r="J232" i="1"/>
  <c r="K232" i="1"/>
  <c r="H233" i="1"/>
  <c r="I233" i="1"/>
  <c r="J233" i="1"/>
  <c r="K233" i="1"/>
  <c r="H234" i="1"/>
  <c r="I234" i="1"/>
  <c r="J234" i="1"/>
  <c r="K234" i="1"/>
  <c r="H235" i="1"/>
  <c r="I235" i="1"/>
  <c r="J235" i="1"/>
  <c r="K235" i="1"/>
  <c r="H236" i="1"/>
  <c r="I236" i="1"/>
  <c r="J236" i="1"/>
  <c r="K236" i="1"/>
  <c r="H237" i="1"/>
  <c r="I237" i="1"/>
  <c r="J237" i="1"/>
  <c r="K237" i="1"/>
  <c r="H238" i="1"/>
  <c r="I238" i="1"/>
  <c r="J238" i="1"/>
  <c r="K238" i="1"/>
  <c r="H239" i="1"/>
  <c r="I239" i="1"/>
  <c r="J239" i="1"/>
  <c r="K239" i="1"/>
  <c r="H240" i="1"/>
  <c r="I240" i="1"/>
  <c r="J240" i="1"/>
  <c r="K240" i="1"/>
  <c r="H241" i="1"/>
  <c r="I241" i="1"/>
  <c r="J241" i="1"/>
  <c r="K241" i="1"/>
  <c r="H242" i="1"/>
  <c r="I242" i="1"/>
  <c r="J242" i="1"/>
  <c r="K242" i="1"/>
  <c r="H243" i="1"/>
  <c r="I243" i="1"/>
  <c r="J243" i="1"/>
  <c r="K243" i="1"/>
  <c r="H244" i="1"/>
  <c r="I244" i="1"/>
  <c r="J244" i="1"/>
  <c r="K244" i="1"/>
  <c r="H245" i="1"/>
  <c r="I245" i="1"/>
  <c r="J245" i="1"/>
  <c r="K245" i="1"/>
  <c r="H246" i="1"/>
  <c r="I246" i="1"/>
  <c r="J246" i="1"/>
  <c r="K246" i="1"/>
  <c r="H247" i="1"/>
  <c r="I247" i="1"/>
  <c r="J247" i="1"/>
  <c r="K247" i="1"/>
  <c r="H248" i="1"/>
  <c r="I248" i="1"/>
  <c r="J248" i="1"/>
  <c r="K248" i="1"/>
  <c r="H249" i="1"/>
  <c r="I249" i="1"/>
  <c r="J249" i="1"/>
  <c r="K249" i="1"/>
  <c r="H250" i="1"/>
  <c r="I250" i="1"/>
  <c r="J250" i="1"/>
  <c r="K250" i="1"/>
  <c r="H251" i="1"/>
  <c r="I251" i="1"/>
  <c r="J251" i="1"/>
  <c r="K251" i="1"/>
  <c r="H252" i="1"/>
  <c r="I252" i="1"/>
  <c r="J252" i="1"/>
  <c r="K252" i="1"/>
  <c r="H253" i="1"/>
  <c r="I253" i="1"/>
  <c r="J253" i="1"/>
  <c r="K253" i="1"/>
  <c r="H254" i="1"/>
  <c r="I254" i="1"/>
  <c r="J254" i="1"/>
  <c r="K254" i="1"/>
  <c r="H255" i="1"/>
  <c r="I255" i="1"/>
  <c r="J255" i="1"/>
  <c r="K255" i="1"/>
  <c r="H256" i="1"/>
  <c r="I256" i="1"/>
  <c r="J256" i="1"/>
  <c r="K256" i="1"/>
  <c r="H257" i="1"/>
  <c r="I257" i="1"/>
  <c r="J257" i="1"/>
  <c r="K257" i="1"/>
  <c r="H258" i="1"/>
  <c r="I258" i="1"/>
  <c r="J258" i="1"/>
  <c r="K258" i="1"/>
  <c r="H259" i="1"/>
  <c r="I259" i="1"/>
  <c r="J259" i="1"/>
  <c r="K259" i="1"/>
  <c r="H260" i="1"/>
  <c r="I260" i="1"/>
  <c r="J260" i="1"/>
  <c r="K260" i="1"/>
  <c r="H261" i="1"/>
  <c r="I261" i="1"/>
  <c r="J261" i="1"/>
  <c r="K261" i="1"/>
  <c r="H262" i="1"/>
  <c r="I262" i="1"/>
  <c r="J262" i="1"/>
  <c r="K262" i="1"/>
  <c r="H263" i="1"/>
  <c r="I263" i="1"/>
  <c r="J263" i="1"/>
  <c r="K263" i="1"/>
  <c r="H264" i="1"/>
  <c r="I264" i="1"/>
  <c r="J264" i="1"/>
  <c r="K264" i="1"/>
  <c r="H265" i="1"/>
  <c r="I265" i="1"/>
  <c r="J265" i="1"/>
  <c r="K265" i="1"/>
  <c r="H266" i="1"/>
  <c r="I266" i="1"/>
  <c r="J266" i="1"/>
  <c r="K266" i="1"/>
  <c r="H267" i="1"/>
  <c r="I267" i="1"/>
  <c r="J267" i="1"/>
  <c r="K267" i="1"/>
  <c r="H268" i="1"/>
  <c r="I268" i="1"/>
  <c r="J268" i="1"/>
  <c r="K268" i="1"/>
  <c r="H269" i="1"/>
  <c r="I269" i="1"/>
  <c r="J269" i="1"/>
  <c r="K269" i="1"/>
  <c r="H270" i="1"/>
  <c r="I270" i="1"/>
  <c r="J270" i="1"/>
  <c r="K270" i="1"/>
  <c r="H271" i="1"/>
  <c r="I271" i="1"/>
  <c r="J271" i="1"/>
  <c r="K271" i="1"/>
  <c r="H272" i="1"/>
  <c r="I272" i="1"/>
  <c r="J272" i="1"/>
  <c r="K272" i="1"/>
  <c r="H273" i="1"/>
  <c r="I273" i="1"/>
  <c r="J273" i="1"/>
  <c r="K273" i="1"/>
  <c r="H274" i="1"/>
  <c r="I274" i="1"/>
  <c r="J274" i="1"/>
  <c r="K274" i="1"/>
  <c r="H275" i="1"/>
  <c r="I275" i="1"/>
  <c r="J275" i="1"/>
  <c r="K275" i="1"/>
  <c r="H276" i="1"/>
  <c r="I276" i="1"/>
  <c r="J276" i="1"/>
  <c r="K276" i="1"/>
  <c r="H277" i="1"/>
  <c r="I277" i="1"/>
  <c r="J277" i="1"/>
  <c r="K277" i="1"/>
  <c r="H278" i="1"/>
  <c r="I278" i="1"/>
  <c r="J278" i="1"/>
  <c r="K278" i="1"/>
  <c r="H279" i="1"/>
  <c r="I279" i="1"/>
  <c r="J279" i="1"/>
  <c r="K279" i="1"/>
  <c r="H280" i="1"/>
  <c r="I280" i="1"/>
  <c r="J280" i="1"/>
  <c r="K280" i="1"/>
  <c r="H281" i="1"/>
  <c r="I281" i="1"/>
  <c r="J281" i="1"/>
  <c r="K281" i="1"/>
  <c r="H282" i="1"/>
  <c r="I282" i="1"/>
  <c r="J282" i="1"/>
  <c r="K282" i="1"/>
  <c r="H283" i="1"/>
  <c r="I283" i="1"/>
  <c r="J283" i="1"/>
  <c r="K283" i="1"/>
  <c r="H284" i="1"/>
  <c r="I284" i="1"/>
  <c r="J284" i="1"/>
  <c r="K284" i="1"/>
  <c r="H285" i="1"/>
  <c r="I285" i="1"/>
  <c r="J285" i="1"/>
  <c r="K285" i="1"/>
  <c r="H286" i="1"/>
  <c r="I286" i="1"/>
  <c r="J286" i="1"/>
  <c r="K286" i="1"/>
  <c r="H287" i="1"/>
  <c r="I287" i="1"/>
  <c r="J287" i="1"/>
  <c r="K287" i="1"/>
  <c r="H288" i="1"/>
  <c r="I288" i="1"/>
  <c r="J288" i="1"/>
  <c r="K288" i="1"/>
  <c r="H289" i="1"/>
  <c r="I289" i="1"/>
  <c r="J289" i="1"/>
  <c r="K289" i="1"/>
  <c r="H290" i="1"/>
  <c r="I290" i="1"/>
  <c r="J290" i="1"/>
  <c r="K290" i="1"/>
  <c r="H291" i="1"/>
  <c r="I291" i="1"/>
  <c r="J291" i="1"/>
  <c r="K291" i="1"/>
  <c r="H292" i="1"/>
  <c r="I292" i="1"/>
  <c r="J292" i="1"/>
  <c r="K292" i="1"/>
  <c r="H293" i="1"/>
  <c r="I293" i="1"/>
  <c r="J293" i="1"/>
  <c r="K293" i="1"/>
  <c r="H294" i="1"/>
  <c r="I294" i="1"/>
  <c r="J294" i="1"/>
  <c r="K294" i="1"/>
  <c r="H295" i="1"/>
  <c r="I295" i="1"/>
  <c r="J295" i="1"/>
  <c r="K295" i="1"/>
  <c r="H296" i="1"/>
  <c r="I296" i="1"/>
  <c r="J296" i="1"/>
  <c r="K296" i="1"/>
  <c r="H297" i="1"/>
  <c r="I297" i="1"/>
  <c r="J297" i="1"/>
  <c r="K297" i="1"/>
  <c r="H298" i="1"/>
  <c r="I298" i="1"/>
  <c r="J298" i="1"/>
  <c r="K298" i="1"/>
  <c r="H299" i="1"/>
  <c r="I299" i="1"/>
  <c r="J299" i="1"/>
  <c r="K299" i="1"/>
  <c r="H300" i="1"/>
  <c r="I300" i="1"/>
  <c r="J300" i="1"/>
  <c r="K300" i="1"/>
  <c r="H301" i="1"/>
  <c r="I301" i="1"/>
  <c r="J301" i="1"/>
  <c r="K301" i="1"/>
  <c r="H302" i="1"/>
  <c r="I302" i="1"/>
  <c r="J302" i="1"/>
  <c r="K302" i="1"/>
  <c r="H303" i="1"/>
  <c r="I303" i="1"/>
  <c r="J303" i="1"/>
  <c r="K303" i="1"/>
  <c r="H304" i="1"/>
  <c r="I304" i="1"/>
  <c r="J304" i="1"/>
  <c r="K304" i="1"/>
  <c r="H305" i="1"/>
  <c r="I305" i="1"/>
  <c r="J305" i="1"/>
  <c r="K305" i="1"/>
  <c r="H306" i="1"/>
  <c r="I306" i="1"/>
  <c r="J306" i="1"/>
  <c r="K306" i="1"/>
  <c r="H307" i="1"/>
  <c r="I307" i="1"/>
  <c r="J307" i="1"/>
  <c r="K307" i="1"/>
  <c r="H308" i="1"/>
  <c r="I308" i="1"/>
  <c r="J308" i="1"/>
  <c r="K308" i="1"/>
  <c r="H309" i="1"/>
  <c r="I309" i="1"/>
  <c r="J309" i="1"/>
  <c r="K309" i="1"/>
  <c r="H310" i="1"/>
  <c r="I310" i="1"/>
  <c r="J310" i="1"/>
  <c r="K310" i="1"/>
  <c r="H311" i="1"/>
  <c r="I311" i="1"/>
  <c r="J311" i="1"/>
  <c r="K311" i="1"/>
  <c r="H312" i="1"/>
  <c r="I312" i="1"/>
  <c r="J312" i="1"/>
  <c r="K312" i="1"/>
  <c r="H313" i="1"/>
  <c r="I313" i="1"/>
  <c r="J313" i="1"/>
  <c r="K313" i="1"/>
  <c r="H314" i="1"/>
  <c r="I314" i="1"/>
  <c r="J314" i="1"/>
  <c r="K314" i="1"/>
  <c r="H315" i="1"/>
  <c r="I315" i="1"/>
  <c r="J315" i="1"/>
  <c r="K315" i="1"/>
  <c r="H316" i="1"/>
  <c r="I316" i="1"/>
  <c r="J316" i="1"/>
  <c r="K316" i="1"/>
  <c r="H317" i="1"/>
  <c r="I317" i="1"/>
  <c r="J317" i="1"/>
  <c r="K317" i="1"/>
  <c r="H318" i="1"/>
  <c r="I318" i="1"/>
  <c r="J318" i="1"/>
  <c r="K318" i="1"/>
  <c r="H319" i="1"/>
  <c r="I319" i="1"/>
  <c r="J319" i="1"/>
  <c r="K319" i="1"/>
  <c r="H320" i="1"/>
  <c r="I320" i="1"/>
  <c r="J320" i="1"/>
  <c r="K320" i="1"/>
  <c r="H321" i="1"/>
  <c r="I321" i="1"/>
  <c r="J321" i="1"/>
  <c r="K321" i="1"/>
  <c r="H322" i="1"/>
  <c r="I322" i="1"/>
  <c r="J322" i="1"/>
  <c r="K322" i="1"/>
  <c r="H323" i="1"/>
  <c r="I323" i="1"/>
  <c r="J323" i="1"/>
  <c r="K323" i="1"/>
  <c r="H324" i="1"/>
  <c r="I324" i="1"/>
  <c r="J324" i="1"/>
  <c r="K324" i="1"/>
  <c r="H325" i="1"/>
  <c r="I325" i="1"/>
  <c r="J325" i="1"/>
  <c r="K325" i="1"/>
  <c r="H326" i="1"/>
  <c r="I326" i="1"/>
  <c r="J326" i="1"/>
  <c r="K326" i="1"/>
  <c r="H327" i="1"/>
  <c r="I327" i="1"/>
  <c r="J327" i="1"/>
  <c r="K327" i="1"/>
  <c r="H328" i="1"/>
  <c r="I328" i="1"/>
  <c r="J328" i="1"/>
  <c r="K328" i="1"/>
  <c r="H329" i="1"/>
  <c r="I329" i="1"/>
  <c r="J329" i="1"/>
  <c r="K329" i="1"/>
  <c r="H330" i="1"/>
  <c r="I330" i="1"/>
  <c r="J330" i="1"/>
  <c r="K330" i="1"/>
  <c r="H331" i="1"/>
  <c r="I331" i="1"/>
  <c r="J331" i="1"/>
  <c r="K331" i="1"/>
  <c r="H332" i="1"/>
  <c r="I332" i="1"/>
  <c r="J332" i="1"/>
  <c r="K332" i="1"/>
  <c r="H333" i="1"/>
  <c r="I333" i="1"/>
  <c r="J333" i="1"/>
  <c r="K333" i="1"/>
  <c r="H334" i="1"/>
  <c r="I334" i="1"/>
  <c r="J334" i="1"/>
  <c r="K334" i="1"/>
  <c r="H335" i="1"/>
  <c r="I335" i="1"/>
  <c r="J335" i="1"/>
  <c r="K335" i="1"/>
  <c r="H336" i="1"/>
  <c r="I336" i="1"/>
  <c r="J336" i="1"/>
  <c r="K336" i="1"/>
  <c r="H337" i="1"/>
  <c r="I337" i="1"/>
  <c r="J337" i="1"/>
  <c r="K337" i="1"/>
  <c r="H338" i="1"/>
  <c r="I338" i="1"/>
  <c r="J338" i="1"/>
  <c r="K338" i="1"/>
  <c r="H339" i="1"/>
  <c r="I339" i="1"/>
  <c r="J339" i="1"/>
  <c r="K339" i="1"/>
  <c r="H340" i="1"/>
  <c r="I340" i="1"/>
  <c r="J340" i="1"/>
  <c r="K340" i="1"/>
  <c r="H341" i="1"/>
  <c r="I341" i="1"/>
  <c r="J341" i="1"/>
  <c r="K341" i="1"/>
  <c r="H342" i="1"/>
  <c r="I342" i="1"/>
  <c r="J342" i="1"/>
  <c r="K342" i="1"/>
  <c r="H343" i="1"/>
  <c r="I343" i="1"/>
  <c r="J343" i="1"/>
  <c r="K343" i="1"/>
  <c r="H344" i="1"/>
  <c r="I344" i="1"/>
  <c r="J344" i="1"/>
  <c r="K344" i="1"/>
  <c r="H345" i="1"/>
  <c r="I345" i="1"/>
  <c r="J345" i="1"/>
  <c r="K345" i="1"/>
  <c r="H346" i="1"/>
  <c r="I346" i="1"/>
  <c r="J346" i="1"/>
  <c r="K346" i="1"/>
  <c r="H347" i="1"/>
  <c r="I347" i="1"/>
  <c r="J347" i="1"/>
  <c r="K347" i="1"/>
  <c r="H348" i="1"/>
  <c r="I348" i="1"/>
  <c r="J348" i="1"/>
  <c r="K348" i="1"/>
  <c r="H349" i="1"/>
  <c r="I349" i="1"/>
  <c r="J349" i="1"/>
  <c r="K349" i="1"/>
  <c r="H350" i="1"/>
  <c r="I350" i="1"/>
  <c r="J350" i="1"/>
  <c r="K350" i="1"/>
  <c r="H351" i="1"/>
  <c r="I351" i="1"/>
  <c r="J351" i="1"/>
  <c r="K351" i="1"/>
  <c r="H352" i="1"/>
  <c r="I352" i="1"/>
  <c r="J352" i="1"/>
  <c r="K352" i="1"/>
  <c r="H353" i="1"/>
  <c r="I353" i="1"/>
  <c r="J353" i="1"/>
  <c r="K353" i="1"/>
  <c r="H354" i="1"/>
  <c r="I354" i="1"/>
  <c r="J354" i="1"/>
  <c r="K354" i="1"/>
  <c r="H355" i="1"/>
  <c r="I355" i="1"/>
  <c r="J355" i="1"/>
  <c r="K355" i="1"/>
  <c r="H356" i="1"/>
  <c r="I356" i="1"/>
  <c r="J356" i="1"/>
  <c r="K356" i="1"/>
  <c r="H357" i="1"/>
  <c r="I357" i="1"/>
  <c r="J357" i="1"/>
  <c r="K357" i="1"/>
  <c r="H358" i="1"/>
  <c r="I358" i="1"/>
  <c r="J358" i="1"/>
  <c r="K358" i="1"/>
  <c r="H359" i="1"/>
  <c r="I359" i="1"/>
  <c r="J359" i="1"/>
  <c r="K359" i="1"/>
  <c r="H360" i="1"/>
  <c r="I360" i="1"/>
  <c r="J360" i="1"/>
  <c r="K360" i="1"/>
  <c r="H361" i="1"/>
  <c r="I361" i="1"/>
  <c r="J361" i="1"/>
  <c r="K361" i="1"/>
  <c r="H362" i="1"/>
  <c r="I362" i="1"/>
  <c r="J362" i="1"/>
  <c r="K362" i="1"/>
  <c r="H363" i="1"/>
  <c r="I363" i="1"/>
  <c r="J363" i="1"/>
  <c r="K363" i="1"/>
  <c r="H364" i="1"/>
  <c r="I364" i="1"/>
  <c r="J364" i="1"/>
  <c r="K364" i="1"/>
  <c r="H365" i="1"/>
  <c r="I365" i="1"/>
  <c r="J365" i="1"/>
  <c r="K365" i="1"/>
  <c r="H366" i="1"/>
  <c r="I366" i="1"/>
  <c r="J366" i="1"/>
  <c r="K366" i="1"/>
  <c r="H367" i="1"/>
  <c r="I367" i="1"/>
  <c r="J367" i="1"/>
  <c r="K367" i="1"/>
  <c r="H368" i="1"/>
  <c r="I368" i="1"/>
  <c r="J368" i="1"/>
  <c r="K368" i="1"/>
  <c r="H369" i="1"/>
  <c r="I369" i="1"/>
  <c r="J369" i="1"/>
  <c r="K369" i="1"/>
  <c r="H370" i="1"/>
  <c r="I370" i="1"/>
  <c r="J370" i="1"/>
  <c r="K370" i="1"/>
  <c r="H371" i="1"/>
  <c r="I371" i="1"/>
  <c r="J371" i="1"/>
  <c r="K371" i="1"/>
  <c r="H372" i="1"/>
  <c r="I372" i="1"/>
  <c r="J372" i="1"/>
  <c r="K372" i="1"/>
  <c r="H373" i="1"/>
  <c r="I373" i="1"/>
  <c r="J373" i="1"/>
  <c r="K373" i="1"/>
  <c r="H374" i="1"/>
  <c r="I374" i="1"/>
  <c r="J374" i="1"/>
  <c r="K374" i="1"/>
  <c r="H375" i="1"/>
  <c r="I375" i="1"/>
  <c r="J375" i="1"/>
  <c r="K375" i="1"/>
  <c r="H376" i="1"/>
  <c r="I376" i="1"/>
  <c r="J376" i="1"/>
  <c r="K376" i="1"/>
  <c r="H377" i="1"/>
  <c r="I377" i="1"/>
  <c r="J377" i="1"/>
  <c r="K377" i="1"/>
  <c r="H378" i="1"/>
  <c r="I378" i="1"/>
  <c r="J378" i="1"/>
  <c r="K378" i="1"/>
  <c r="H379" i="1"/>
  <c r="I379" i="1"/>
  <c r="J379" i="1"/>
  <c r="K379" i="1"/>
  <c r="H380" i="1"/>
  <c r="I380" i="1"/>
  <c r="J380" i="1"/>
  <c r="K380" i="1"/>
  <c r="H381" i="1"/>
  <c r="I381" i="1"/>
  <c r="J381" i="1"/>
  <c r="K381" i="1"/>
  <c r="H382" i="1"/>
  <c r="I382" i="1"/>
  <c r="J382" i="1"/>
  <c r="K382" i="1"/>
  <c r="H383" i="1"/>
  <c r="I383" i="1"/>
  <c r="J383" i="1"/>
  <c r="K383" i="1"/>
  <c r="H384" i="1"/>
  <c r="I384" i="1"/>
  <c r="J384" i="1"/>
  <c r="K384" i="1"/>
  <c r="H385" i="1"/>
  <c r="I385" i="1"/>
  <c r="J385" i="1"/>
  <c r="K385" i="1"/>
  <c r="H386" i="1"/>
  <c r="I386" i="1"/>
  <c r="J386" i="1"/>
  <c r="K386" i="1"/>
  <c r="H387" i="1"/>
  <c r="I387" i="1"/>
  <c r="J387" i="1"/>
  <c r="K387" i="1"/>
  <c r="H388" i="1"/>
  <c r="I388" i="1"/>
  <c r="J388" i="1"/>
  <c r="K388" i="1"/>
  <c r="H389" i="1"/>
  <c r="I389" i="1"/>
  <c r="J389" i="1"/>
  <c r="K389" i="1"/>
  <c r="H390" i="1"/>
  <c r="I390" i="1"/>
  <c r="J390" i="1"/>
  <c r="K390" i="1"/>
  <c r="H391" i="1"/>
  <c r="I391" i="1"/>
  <c r="J391" i="1"/>
  <c r="K391" i="1"/>
  <c r="H392" i="1"/>
  <c r="I392" i="1"/>
  <c r="J392" i="1"/>
  <c r="K392" i="1"/>
  <c r="H393" i="1"/>
  <c r="I393" i="1"/>
  <c r="J393" i="1"/>
  <c r="K393" i="1"/>
  <c r="H394" i="1"/>
  <c r="I394" i="1"/>
  <c r="J394" i="1"/>
  <c r="K394" i="1"/>
  <c r="H395" i="1"/>
  <c r="I395" i="1"/>
  <c r="J395" i="1"/>
  <c r="K395" i="1"/>
  <c r="H396" i="1"/>
  <c r="I396" i="1"/>
  <c r="J396" i="1"/>
  <c r="K396" i="1"/>
  <c r="H397" i="1"/>
  <c r="I397" i="1"/>
  <c r="J397" i="1"/>
  <c r="K397" i="1"/>
  <c r="H398" i="1"/>
  <c r="I398" i="1"/>
  <c r="J398" i="1"/>
  <c r="K398" i="1"/>
  <c r="H399" i="1"/>
  <c r="I399" i="1"/>
  <c r="J399" i="1"/>
  <c r="K399" i="1"/>
  <c r="H400" i="1"/>
  <c r="I400" i="1"/>
  <c r="J400" i="1"/>
  <c r="K400" i="1"/>
  <c r="H401" i="1"/>
  <c r="I401" i="1"/>
  <c r="J401" i="1"/>
  <c r="K401" i="1"/>
  <c r="H402" i="1"/>
  <c r="I402" i="1"/>
  <c r="J402" i="1"/>
  <c r="K402" i="1"/>
  <c r="H403" i="1"/>
  <c r="I403" i="1"/>
  <c r="J403" i="1"/>
  <c r="K403" i="1"/>
  <c r="H404" i="1"/>
  <c r="I404" i="1"/>
  <c r="J404" i="1"/>
  <c r="K404" i="1"/>
  <c r="H405" i="1"/>
  <c r="I405" i="1"/>
  <c r="J405" i="1"/>
  <c r="K405" i="1"/>
  <c r="H406" i="1"/>
  <c r="I406" i="1"/>
  <c r="J406" i="1"/>
  <c r="K406" i="1"/>
  <c r="H407" i="1"/>
  <c r="I407" i="1"/>
  <c r="J407" i="1"/>
  <c r="K407" i="1"/>
  <c r="H408" i="1"/>
  <c r="I408" i="1"/>
  <c r="J408" i="1"/>
  <c r="K408" i="1"/>
  <c r="H409" i="1"/>
  <c r="I409" i="1"/>
  <c r="J409" i="1"/>
  <c r="K409" i="1"/>
  <c r="H410" i="1"/>
  <c r="I410" i="1"/>
  <c r="J410" i="1"/>
  <c r="K410" i="1"/>
  <c r="H411" i="1"/>
  <c r="I411" i="1"/>
  <c r="J411" i="1"/>
  <c r="K411" i="1"/>
  <c r="H412" i="1"/>
  <c r="I412" i="1"/>
  <c r="J412" i="1"/>
  <c r="K412" i="1"/>
  <c r="H413" i="1"/>
  <c r="I413" i="1"/>
  <c r="J413" i="1"/>
  <c r="K413" i="1"/>
  <c r="H414" i="1"/>
  <c r="I414" i="1"/>
  <c r="J414" i="1"/>
  <c r="K414" i="1"/>
  <c r="H415" i="1"/>
  <c r="I415" i="1"/>
  <c r="J415" i="1"/>
  <c r="K415" i="1"/>
  <c r="H416" i="1"/>
  <c r="I416" i="1"/>
  <c r="J416" i="1"/>
  <c r="K416" i="1"/>
  <c r="H417" i="1"/>
  <c r="I417" i="1"/>
  <c r="J417" i="1"/>
  <c r="K417" i="1"/>
  <c r="H418" i="1"/>
  <c r="I418" i="1"/>
  <c r="J418" i="1"/>
  <c r="K418" i="1"/>
  <c r="H419" i="1"/>
  <c r="I419" i="1"/>
  <c r="J419" i="1"/>
  <c r="K419" i="1"/>
  <c r="H420" i="1"/>
  <c r="I420" i="1"/>
  <c r="J420" i="1"/>
  <c r="K420" i="1"/>
  <c r="H421" i="1"/>
  <c r="I421" i="1"/>
  <c r="J421" i="1"/>
  <c r="K421" i="1"/>
  <c r="H422" i="1"/>
  <c r="I422" i="1"/>
  <c r="J422" i="1"/>
  <c r="K422" i="1"/>
  <c r="H423" i="1"/>
  <c r="I423" i="1"/>
  <c r="J423" i="1"/>
  <c r="K423" i="1"/>
  <c r="H424" i="1"/>
  <c r="I424" i="1"/>
  <c r="J424" i="1"/>
  <c r="K424" i="1"/>
  <c r="H425" i="1"/>
  <c r="I425" i="1"/>
  <c r="J425" i="1"/>
  <c r="K425" i="1"/>
  <c r="H426" i="1"/>
  <c r="I426" i="1"/>
  <c r="J426" i="1"/>
  <c r="K426" i="1"/>
  <c r="H427" i="1"/>
  <c r="I427" i="1"/>
  <c r="J427" i="1"/>
  <c r="K427" i="1"/>
  <c r="H428" i="1"/>
  <c r="I428" i="1"/>
  <c r="J428" i="1"/>
  <c r="K428" i="1"/>
  <c r="H429" i="1"/>
  <c r="I429" i="1"/>
  <c r="J429" i="1"/>
  <c r="K429" i="1"/>
  <c r="H430" i="1"/>
  <c r="I430" i="1"/>
  <c r="J430" i="1"/>
  <c r="K430" i="1"/>
  <c r="H431" i="1"/>
  <c r="I431" i="1"/>
  <c r="J431" i="1"/>
  <c r="K431" i="1"/>
  <c r="H432" i="1"/>
  <c r="I432" i="1"/>
  <c r="J432" i="1"/>
  <c r="K432" i="1"/>
  <c r="H433" i="1"/>
  <c r="I433" i="1"/>
  <c r="J433" i="1"/>
  <c r="K433" i="1"/>
  <c r="H434" i="1"/>
  <c r="I434" i="1"/>
  <c r="J434" i="1"/>
  <c r="K434" i="1"/>
  <c r="H435" i="1"/>
  <c r="I435" i="1"/>
  <c r="J435" i="1"/>
  <c r="K435" i="1"/>
  <c r="H436" i="1"/>
  <c r="I436" i="1"/>
  <c r="J436" i="1"/>
  <c r="K436" i="1"/>
  <c r="H437" i="1"/>
  <c r="I437" i="1"/>
  <c r="J437" i="1"/>
  <c r="K437" i="1"/>
  <c r="H438" i="1"/>
  <c r="I438" i="1"/>
  <c r="J438" i="1"/>
  <c r="K438" i="1"/>
  <c r="H439" i="1"/>
  <c r="I439" i="1"/>
  <c r="J439" i="1"/>
  <c r="K439" i="1"/>
  <c r="H440" i="1"/>
  <c r="I440" i="1"/>
  <c r="J440" i="1"/>
  <c r="K440" i="1"/>
  <c r="H441" i="1"/>
  <c r="I441" i="1"/>
  <c r="J441" i="1"/>
  <c r="K441" i="1"/>
  <c r="H442" i="1"/>
  <c r="I442" i="1"/>
  <c r="J442" i="1"/>
  <c r="K442" i="1"/>
  <c r="H443" i="1"/>
  <c r="I443" i="1"/>
  <c r="J443" i="1"/>
  <c r="K443" i="1"/>
  <c r="H444" i="1"/>
  <c r="I444" i="1"/>
  <c r="J444" i="1"/>
  <c r="K444" i="1"/>
  <c r="H445" i="1"/>
  <c r="I445" i="1"/>
  <c r="J445" i="1"/>
  <c r="K445" i="1"/>
  <c r="H446" i="1"/>
  <c r="I446" i="1"/>
  <c r="J446" i="1"/>
  <c r="K446" i="1"/>
  <c r="H447" i="1"/>
  <c r="I447" i="1"/>
  <c r="J447" i="1"/>
  <c r="K447" i="1"/>
  <c r="H448" i="1"/>
  <c r="I448" i="1"/>
  <c r="J448" i="1"/>
  <c r="K448" i="1"/>
  <c r="H449" i="1"/>
  <c r="I449" i="1"/>
  <c r="J449" i="1"/>
  <c r="K449" i="1"/>
  <c r="H450" i="1"/>
  <c r="I450" i="1"/>
  <c r="J450" i="1"/>
  <c r="K450" i="1"/>
  <c r="H451" i="1"/>
  <c r="I451" i="1"/>
  <c r="J451" i="1"/>
  <c r="K451" i="1"/>
  <c r="H452" i="1"/>
  <c r="I452" i="1"/>
  <c r="J452" i="1"/>
  <c r="K452" i="1"/>
  <c r="H453" i="1"/>
  <c r="I453" i="1"/>
  <c r="J453" i="1"/>
  <c r="K453" i="1"/>
  <c r="H454" i="1"/>
  <c r="I454" i="1"/>
  <c r="J454" i="1"/>
  <c r="K454" i="1"/>
  <c r="H455" i="1"/>
  <c r="I455" i="1"/>
  <c r="J455" i="1"/>
  <c r="K455" i="1"/>
  <c r="H456" i="1"/>
  <c r="I456" i="1"/>
  <c r="J456" i="1"/>
  <c r="K456" i="1"/>
  <c r="H457" i="1"/>
  <c r="I457" i="1"/>
  <c r="J457" i="1"/>
  <c r="K457" i="1"/>
  <c r="H458" i="1"/>
  <c r="I458" i="1"/>
  <c r="J458" i="1"/>
  <c r="K458" i="1"/>
  <c r="H459" i="1"/>
  <c r="I459" i="1"/>
  <c r="J459" i="1"/>
  <c r="K459" i="1"/>
  <c r="H460" i="1"/>
  <c r="I460" i="1"/>
  <c r="J460" i="1"/>
  <c r="K460" i="1"/>
  <c r="H461" i="1"/>
  <c r="I461" i="1"/>
  <c r="J461" i="1"/>
  <c r="K461" i="1"/>
  <c r="H462" i="1"/>
  <c r="I462" i="1"/>
  <c r="J462" i="1"/>
  <c r="K462" i="1"/>
  <c r="H463" i="1"/>
  <c r="I463" i="1"/>
  <c r="J463" i="1"/>
  <c r="K463" i="1"/>
  <c r="H464" i="1"/>
  <c r="I464" i="1"/>
  <c r="J464" i="1"/>
  <c r="K464" i="1"/>
  <c r="H465" i="1"/>
  <c r="I465" i="1"/>
  <c r="J465" i="1"/>
  <c r="K465" i="1"/>
  <c r="H466" i="1"/>
  <c r="I466" i="1"/>
  <c r="J466" i="1"/>
  <c r="K466" i="1"/>
  <c r="H467" i="1"/>
  <c r="I467" i="1"/>
  <c r="J467" i="1"/>
  <c r="K467" i="1"/>
  <c r="H468" i="1"/>
  <c r="I468" i="1"/>
  <c r="J468" i="1"/>
  <c r="K468" i="1"/>
  <c r="H469" i="1"/>
  <c r="I469" i="1"/>
  <c r="J469" i="1"/>
  <c r="K469" i="1"/>
  <c r="H470" i="1"/>
  <c r="I470" i="1"/>
  <c r="J470" i="1"/>
  <c r="K470" i="1"/>
  <c r="H471" i="1"/>
  <c r="I471" i="1"/>
  <c r="J471" i="1"/>
  <c r="K471" i="1"/>
  <c r="H472" i="1"/>
  <c r="I472" i="1"/>
  <c r="J472" i="1"/>
  <c r="K472" i="1"/>
  <c r="H473" i="1"/>
  <c r="I473" i="1"/>
  <c r="J473" i="1"/>
  <c r="K473" i="1"/>
  <c r="H474" i="1"/>
  <c r="I474" i="1"/>
  <c r="J474" i="1"/>
  <c r="K474" i="1"/>
  <c r="H475" i="1"/>
  <c r="I475" i="1"/>
  <c r="J475" i="1"/>
  <c r="K475" i="1"/>
  <c r="H476" i="1"/>
  <c r="I476" i="1"/>
  <c r="J476" i="1"/>
  <c r="K476" i="1"/>
  <c r="H477" i="1"/>
  <c r="I477" i="1"/>
  <c r="J477" i="1"/>
  <c r="K477" i="1"/>
  <c r="H478" i="1"/>
  <c r="I478" i="1"/>
  <c r="J478" i="1"/>
  <c r="K478" i="1"/>
  <c r="H479" i="1"/>
  <c r="I479" i="1"/>
  <c r="J479" i="1"/>
  <c r="K479" i="1"/>
  <c r="H480" i="1"/>
  <c r="I480" i="1"/>
  <c r="J480" i="1"/>
  <c r="K480" i="1"/>
  <c r="H481" i="1"/>
  <c r="I481" i="1"/>
  <c r="J481" i="1"/>
  <c r="K481" i="1"/>
  <c r="H482" i="1"/>
  <c r="I482" i="1"/>
  <c r="J482" i="1"/>
  <c r="K482" i="1"/>
  <c r="H483" i="1"/>
  <c r="I483" i="1"/>
  <c r="J483" i="1"/>
  <c r="K483" i="1"/>
  <c r="H484" i="1"/>
  <c r="I484" i="1"/>
  <c r="J484" i="1"/>
  <c r="K484" i="1"/>
  <c r="H485" i="1"/>
  <c r="I485" i="1"/>
  <c r="J485" i="1"/>
  <c r="K485" i="1"/>
  <c r="H486" i="1"/>
  <c r="I486" i="1"/>
  <c r="J486" i="1"/>
  <c r="K486" i="1"/>
  <c r="H487" i="1"/>
  <c r="I487" i="1"/>
  <c r="J487" i="1"/>
  <c r="K487" i="1"/>
  <c r="H488" i="1"/>
  <c r="I488" i="1"/>
  <c r="J488" i="1"/>
  <c r="K488" i="1"/>
  <c r="H489" i="1"/>
  <c r="I489" i="1"/>
  <c r="J489" i="1"/>
  <c r="K489" i="1"/>
  <c r="H490" i="1"/>
  <c r="I490" i="1"/>
  <c r="J490" i="1"/>
  <c r="K490" i="1"/>
  <c r="H491" i="1"/>
  <c r="I491" i="1"/>
  <c r="J491" i="1"/>
  <c r="K491" i="1"/>
  <c r="H492" i="1"/>
  <c r="I492" i="1"/>
  <c r="J492" i="1"/>
  <c r="K492" i="1"/>
  <c r="H493" i="1"/>
  <c r="I493" i="1"/>
  <c r="J493" i="1"/>
  <c r="K493" i="1"/>
  <c r="H494" i="1"/>
  <c r="I494" i="1"/>
  <c r="J494" i="1"/>
  <c r="K494" i="1"/>
  <c r="H495" i="1"/>
  <c r="I495" i="1"/>
  <c r="J495" i="1"/>
  <c r="K495" i="1"/>
  <c r="H496" i="1"/>
  <c r="I496" i="1"/>
  <c r="J496" i="1"/>
  <c r="K496" i="1"/>
  <c r="H497" i="1"/>
  <c r="I497" i="1"/>
  <c r="J497" i="1"/>
  <c r="K497" i="1"/>
  <c r="H498" i="1"/>
  <c r="I498" i="1"/>
  <c r="J498" i="1"/>
  <c r="K498" i="1"/>
  <c r="H499" i="1"/>
  <c r="I499" i="1"/>
  <c r="J499" i="1"/>
  <c r="K499" i="1"/>
  <c r="H500" i="1"/>
  <c r="I500" i="1"/>
  <c r="J500" i="1"/>
  <c r="K500" i="1"/>
  <c r="H501" i="1"/>
  <c r="I501" i="1"/>
  <c r="J501" i="1"/>
  <c r="K501" i="1"/>
  <c r="H502" i="1"/>
  <c r="I502" i="1"/>
  <c r="J502" i="1"/>
  <c r="K502" i="1"/>
  <c r="H503" i="1"/>
  <c r="I503" i="1"/>
  <c r="J503" i="1"/>
  <c r="K503" i="1"/>
  <c r="H504" i="1"/>
  <c r="I504" i="1"/>
  <c r="J504" i="1"/>
  <c r="K504" i="1"/>
  <c r="H505" i="1"/>
  <c r="I505" i="1"/>
  <c r="J505" i="1"/>
  <c r="K505" i="1"/>
  <c r="H506" i="1"/>
  <c r="I506" i="1"/>
  <c r="J506" i="1"/>
  <c r="K506" i="1"/>
  <c r="H507" i="1"/>
  <c r="I507" i="1"/>
  <c r="J507" i="1"/>
  <c r="K507" i="1"/>
  <c r="H508" i="1"/>
  <c r="I508" i="1"/>
  <c r="J508" i="1"/>
  <c r="K508" i="1"/>
  <c r="H509" i="1"/>
  <c r="I509" i="1"/>
  <c r="J509" i="1"/>
  <c r="K509" i="1"/>
  <c r="H510" i="1"/>
  <c r="I510" i="1"/>
  <c r="J510" i="1"/>
  <c r="K510" i="1"/>
  <c r="H511" i="1"/>
  <c r="I511" i="1"/>
  <c r="J511" i="1"/>
  <c r="K511" i="1"/>
  <c r="H512" i="1"/>
  <c r="I512" i="1"/>
  <c r="J512" i="1"/>
  <c r="K512" i="1"/>
  <c r="H513" i="1"/>
  <c r="I513" i="1"/>
  <c r="J513" i="1"/>
  <c r="K513" i="1"/>
  <c r="H514" i="1"/>
  <c r="I514" i="1"/>
  <c r="J514" i="1"/>
  <c r="K514" i="1"/>
  <c r="H515" i="1"/>
  <c r="I515" i="1"/>
  <c r="J515" i="1"/>
  <c r="K515" i="1"/>
  <c r="H516" i="1"/>
  <c r="I516" i="1"/>
  <c r="J516" i="1"/>
  <c r="K516" i="1"/>
  <c r="H517" i="1"/>
  <c r="I517" i="1"/>
  <c r="J517" i="1"/>
  <c r="K517" i="1"/>
  <c r="H518" i="1"/>
  <c r="I518" i="1"/>
  <c r="J518" i="1"/>
  <c r="K518" i="1"/>
  <c r="H519" i="1"/>
  <c r="I519" i="1"/>
  <c r="J519" i="1"/>
  <c r="K519" i="1"/>
  <c r="H520" i="1"/>
  <c r="I520" i="1"/>
  <c r="J520" i="1"/>
  <c r="K520" i="1"/>
  <c r="H521" i="1"/>
  <c r="I521" i="1"/>
  <c r="J521" i="1"/>
  <c r="K521" i="1"/>
  <c r="H522" i="1"/>
  <c r="I522" i="1"/>
  <c r="J522" i="1"/>
  <c r="K522" i="1"/>
  <c r="H523" i="1"/>
  <c r="I523" i="1"/>
  <c r="J523" i="1"/>
  <c r="K523" i="1"/>
  <c r="H524" i="1"/>
  <c r="I524" i="1"/>
  <c r="J524" i="1"/>
  <c r="K524" i="1"/>
  <c r="H525" i="1"/>
  <c r="I525" i="1"/>
  <c r="J525" i="1"/>
  <c r="K525" i="1"/>
  <c r="H526" i="1"/>
  <c r="I526" i="1"/>
  <c r="J526" i="1"/>
  <c r="K526" i="1"/>
  <c r="H527" i="1"/>
  <c r="I527" i="1"/>
  <c r="J527" i="1"/>
  <c r="K527" i="1"/>
  <c r="H528" i="1"/>
  <c r="I528" i="1"/>
  <c r="J528" i="1"/>
  <c r="K528" i="1"/>
  <c r="H529" i="1"/>
  <c r="I529" i="1"/>
  <c r="J529" i="1"/>
  <c r="K529" i="1"/>
  <c r="H530" i="1"/>
  <c r="I530" i="1"/>
  <c r="J530" i="1"/>
  <c r="K530" i="1"/>
  <c r="H531" i="1"/>
  <c r="I531" i="1"/>
  <c r="J531" i="1"/>
  <c r="K531" i="1"/>
  <c r="H532" i="1"/>
  <c r="I532" i="1"/>
  <c r="J532" i="1"/>
  <c r="K532" i="1"/>
  <c r="H533" i="1"/>
  <c r="I533" i="1"/>
  <c r="J533" i="1"/>
  <c r="K533" i="1"/>
  <c r="H534" i="1"/>
  <c r="I534" i="1"/>
  <c r="J534" i="1"/>
  <c r="K534" i="1"/>
  <c r="H535" i="1"/>
  <c r="I535" i="1"/>
  <c r="J535" i="1"/>
  <c r="K535" i="1"/>
  <c r="H536" i="1"/>
  <c r="I536" i="1"/>
  <c r="J536" i="1"/>
  <c r="K536" i="1"/>
  <c r="H537" i="1"/>
  <c r="I537" i="1"/>
  <c r="J537" i="1"/>
  <c r="K537" i="1"/>
  <c r="H538" i="1"/>
  <c r="I538" i="1"/>
  <c r="J538" i="1"/>
  <c r="K538" i="1"/>
  <c r="H539" i="1"/>
  <c r="I539" i="1"/>
  <c r="J539" i="1"/>
  <c r="K539" i="1"/>
  <c r="H540" i="1"/>
  <c r="I540" i="1"/>
  <c r="J540" i="1"/>
  <c r="K540" i="1"/>
  <c r="H541" i="1"/>
  <c r="I541" i="1"/>
  <c r="J541" i="1"/>
  <c r="K541" i="1"/>
  <c r="H542" i="1"/>
  <c r="I542" i="1"/>
  <c r="J542" i="1"/>
  <c r="K542" i="1"/>
  <c r="H543" i="1"/>
  <c r="I543" i="1"/>
  <c r="J543" i="1"/>
  <c r="K543" i="1"/>
  <c r="H544" i="1"/>
  <c r="I544" i="1"/>
  <c r="J544" i="1"/>
  <c r="K544" i="1"/>
  <c r="H545" i="1"/>
  <c r="I545" i="1"/>
  <c r="J545" i="1"/>
  <c r="K545" i="1"/>
  <c r="H546" i="1"/>
  <c r="I546" i="1"/>
  <c r="J546" i="1"/>
  <c r="K546" i="1"/>
  <c r="H547" i="1"/>
  <c r="I547" i="1"/>
  <c r="J547" i="1"/>
  <c r="K547" i="1"/>
  <c r="H548" i="1"/>
  <c r="I548" i="1"/>
  <c r="J548" i="1"/>
  <c r="K548" i="1"/>
  <c r="H549" i="1"/>
  <c r="I549" i="1"/>
  <c r="J549" i="1"/>
  <c r="K549" i="1"/>
  <c r="H550" i="1"/>
  <c r="I550" i="1"/>
  <c r="J550" i="1"/>
  <c r="K550" i="1"/>
  <c r="H551" i="1"/>
  <c r="I551" i="1"/>
  <c r="J551" i="1"/>
  <c r="K551" i="1"/>
  <c r="H552" i="1"/>
  <c r="I552" i="1"/>
  <c r="J552" i="1"/>
  <c r="K552" i="1"/>
  <c r="H553" i="1"/>
  <c r="I553" i="1"/>
  <c r="J553" i="1"/>
  <c r="K553" i="1"/>
  <c r="H554" i="1"/>
  <c r="I554" i="1"/>
  <c r="J554" i="1"/>
  <c r="K554" i="1"/>
  <c r="H555" i="1"/>
  <c r="I555" i="1"/>
  <c r="J555" i="1"/>
  <c r="K555" i="1"/>
  <c r="H556" i="1"/>
  <c r="I556" i="1"/>
  <c r="J556" i="1"/>
  <c r="K556" i="1"/>
  <c r="H557" i="1"/>
  <c r="I557" i="1"/>
  <c r="J557" i="1"/>
  <c r="K557" i="1"/>
  <c r="H558" i="1"/>
  <c r="I558" i="1"/>
  <c r="J558" i="1"/>
  <c r="K558" i="1"/>
  <c r="H559" i="1"/>
  <c r="I559" i="1"/>
  <c r="J559" i="1"/>
  <c r="K559" i="1"/>
  <c r="H560" i="1"/>
  <c r="I560" i="1"/>
  <c r="J560" i="1"/>
  <c r="K560" i="1"/>
  <c r="H561" i="1"/>
  <c r="I561" i="1"/>
  <c r="J561" i="1"/>
  <c r="K561" i="1"/>
  <c r="H562" i="1"/>
  <c r="I562" i="1"/>
  <c r="J562" i="1"/>
  <c r="K562" i="1"/>
  <c r="H563" i="1"/>
  <c r="I563" i="1"/>
  <c r="J563" i="1"/>
  <c r="K563" i="1"/>
  <c r="H564" i="1"/>
  <c r="I564" i="1"/>
  <c r="J564" i="1"/>
  <c r="K564" i="1"/>
  <c r="H565" i="1"/>
  <c r="I565" i="1"/>
  <c r="J565" i="1"/>
  <c r="K565" i="1"/>
  <c r="H566" i="1"/>
  <c r="I566" i="1"/>
  <c r="J566" i="1"/>
  <c r="K566" i="1"/>
  <c r="H567" i="1"/>
  <c r="I567" i="1"/>
  <c r="J567" i="1"/>
  <c r="K567" i="1"/>
  <c r="H568" i="1"/>
  <c r="I568" i="1"/>
  <c r="J568" i="1"/>
  <c r="K568" i="1"/>
  <c r="H569" i="1"/>
  <c r="I569" i="1"/>
  <c r="J569" i="1"/>
  <c r="K569" i="1"/>
  <c r="H570" i="1"/>
  <c r="I570" i="1"/>
  <c r="J570" i="1"/>
  <c r="K570" i="1"/>
  <c r="H571" i="1"/>
  <c r="I571" i="1"/>
  <c r="J571" i="1"/>
  <c r="K571" i="1"/>
  <c r="H572" i="1"/>
  <c r="I572" i="1"/>
  <c r="J572" i="1"/>
  <c r="K572" i="1"/>
  <c r="H573" i="1"/>
  <c r="I573" i="1"/>
  <c r="J573" i="1"/>
  <c r="K573" i="1"/>
  <c r="H574" i="1"/>
  <c r="I574" i="1"/>
  <c r="J574" i="1"/>
  <c r="K574" i="1"/>
  <c r="H575" i="1"/>
  <c r="I575" i="1"/>
  <c r="J575" i="1"/>
  <c r="K575" i="1"/>
  <c r="H576" i="1"/>
  <c r="I576" i="1"/>
  <c r="J576" i="1"/>
  <c r="K576" i="1"/>
  <c r="H577" i="1"/>
  <c r="I577" i="1"/>
  <c r="J577" i="1"/>
  <c r="K577" i="1"/>
  <c r="H578" i="1"/>
  <c r="I578" i="1"/>
  <c r="J578" i="1"/>
  <c r="K578" i="1"/>
  <c r="H579" i="1"/>
  <c r="I579" i="1"/>
  <c r="J579" i="1"/>
  <c r="K579" i="1"/>
  <c r="H580" i="1"/>
  <c r="I580" i="1"/>
  <c r="J580" i="1"/>
  <c r="K580" i="1"/>
  <c r="H581" i="1"/>
  <c r="I581" i="1"/>
  <c r="J581" i="1"/>
  <c r="K581" i="1"/>
  <c r="H582" i="1"/>
  <c r="I582" i="1"/>
  <c r="J582" i="1"/>
  <c r="K582" i="1"/>
  <c r="H583" i="1"/>
  <c r="I583" i="1"/>
  <c r="J583" i="1"/>
  <c r="K583" i="1"/>
  <c r="H584" i="1"/>
  <c r="I584" i="1"/>
  <c r="J584" i="1"/>
  <c r="K584" i="1"/>
  <c r="H585" i="1"/>
  <c r="I585" i="1"/>
  <c r="J585" i="1"/>
  <c r="K585" i="1"/>
  <c r="H586" i="1"/>
  <c r="I586" i="1"/>
  <c r="J586" i="1"/>
  <c r="K586" i="1"/>
  <c r="H587" i="1"/>
  <c r="I587" i="1"/>
  <c r="J587" i="1"/>
  <c r="K587" i="1"/>
  <c r="H588" i="1"/>
  <c r="I588" i="1"/>
  <c r="J588" i="1"/>
  <c r="K588" i="1"/>
  <c r="H589" i="1"/>
  <c r="I589" i="1"/>
  <c r="J589" i="1"/>
  <c r="K589" i="1"/>
  <c r="H590" i="1"/>
  <c r="I590" i="1"/>
  <c r="J590" i="1"/>
  <c r="K590" i="1"/>
  <c r="H591" i="1"/>
  <c r="I591" i="1"/>
  <c r="J591" i="1"/>
  <c r="K591" i="1"/>
  <c r="H592" i="1"/>
  <c r="I592" i="1"/>
  <c r="J592" i="1"/>
  <c r="K592" i="1"/>
  <c r="H593" i="1"/>
  <c r="I593" i="1"/>
  <c r="J593" i="1"/>
  <c r="K593" i="1"/>
  <c r="H594" i="1"/>
  <c r="I594" i="1"/>
  <c r="J594" i="1"/>
  <c r="K594" i="1"/>
  <c r="H595" i="1"/>
  <c r="I595" i="1"/>
  <c r="J595" i="1"/>
  <c r="K595" i="1"/>
  <c r="H596" i="1"/>
  <c r="I596" i="1"/>
  <c r="J596" i="1"/>
  <c r="K596" i="1"/>
  <c r="H597" i="1"/>
  <c r="I597" i="1"/>
  <c r="J597" i="1"/>
  <c r="K597" i="1"/>
  <c r="H598" i="1"/>
  <c r="I598" i="1"/>
  <c r="J598" i="1"/>
  <c r="K598" i="1"/>
  <c r="H599" i="1"/>
  <c r="I599" i="1"/>
  <c r="J599" i="1"/>
  <c r="K599" i="1"/>
  <c r="H600" i="1"/>
  <c r="I600" i="1"/>
  <c r="J600" i="1"/>
  <c r="K600" i="1"/>
  <c r="H601" i="1"/>
  <c r="I601" i="1"/>
  <c r="J601" i="1"/>
  <c r="K601" i="1"/>
  <c r="H602" i="1"/>
  <c r="I602" i="1"/>
  <c r="J602" i="1"/>
  <c r="K602" i="1"/>
  <c r="H603" i="1"/>
  <c r="I603" i="1"/>
  <c r="J603" i="1"/>
  <c r="K603" i="1"/>
  <c r="H604" i="1"/>
  <c r="I604" i="1"/>
  <c r="J604" i="1"/>
  <c r="K604" i="1"/>
  <c r="H605" i="1"/>
  <c r="I605" i="1"/>
  <c r="J605" i="1"/>
  <c r="K605" i="1"/>
  <c r="H606" i="1"/>
  <c r="I606" i="1"/>
  <c r="J606" i="1"/>
  <c r="K606" i="1"/>
  <c r="H607" i="1"/>
  <c r="I607" i="1"/>
  <c r="J607" i="1"/>
  <c r="K607" i="1"/>
  <c r="H608" i="1"/>
  <c r="I608" i="1"/>
  <c r="J608" i="1"/>
  <c r="K608" i="1"/>
  <c r="H609" i="1"/>
  <c r="I609" i="1"/>
  <c r="J609" i="1"/>
  <c r="K609" i="1"/>
  <c r="H610" i="1"/>
  <c r="I610" i="1"/>
  <c r="J610" i="1"/>
  <c r="K610" i="1"/>
  <c r="H611" i="1"/>
  <c r="I611" i="1"/>
  <c r="J611" i="1"/>
  <c r="K611" i="1"/>
  <c r="H612" i="1"/>
  <c r="I612" i="1"/>
  <c r="J612" i="1"/>
  <c r="K612" i="1"/>
  <c r="H613" i="1"/>
  <c r="I613" i="1"/>
  <c r="J613" i="1"/>
  <c r="K613" i="1"/>
  <c r="H614" i="1"/>
  <c r="I614" i="1"/>
  <c r="J614" i="1"/>
  <c r="K614" i="1"/>
  <c r="H615" i="1"/>
  <c r="I615" i="1"/>
  <c r="J615" i="1"/>
  <c r="K615" i="1"/>
  <c r="H616" i="1"/>
  <c r="I616" i="1"/>
  <c r="J616" i="1"/>
  <c r="K616" i="1"/>
  <c r="H617" i="1"/>
  <c r="I617" i="1"/>
  <c r="J617" i="1"/>
  <c r="K617" i="1"/>
  <c r="H618" i="1"/>
  <c r="I618" i="1"/>
  <c r="J618" i="1"/>
  <c r="K618" i="1"/>
  <c r="H619" i="1"/>
  <c r="I619" i="1"/>
  <c r="J619" i="1"/>
  <c r="K619" i="1"/>
  <c r="H620" i="1"/>
  <c r="I620" i="1"/>
  <c r="J620" i="1"/>
  <c r="K620" i="1"/>
  <c r="H621" i="1"/>
  <c r="I621" i="1"/>
  <c r="J621" i="1"/>
  <c r="K621" i="1"/>
  <c r="H622" i="1"/>
  <c r="I622" i="1"/>
  <c r="J622" i="1"/>
  <c r="K622" i="1"/>
  <c r="H623" i="1"/>
  <c r="I623" i="1"/>
  <c r="J623" i="1"/>
  <c r="K623" i="1"/>
  <c r="H624" i="1"/>
  <c r="I624" i="1"/>
  <c r="J624" i="1"/>
  <c r="K624" i="1"/>
  <c r="H625" i="1"/>
  <c r="I625" i="1"/>
  <c r="J625" i="1"/>
  <c r="K625" i="1"/>
  <c r="H626" i="1"/>
  <c r="I626" i="1"/>
  <c r="J626" i="1"/>
  <c r="K626" i="1"/>
  <c r="H627" i="1"/>
  <c r="I627" i="1"/>
  <c r="J627" i="1"/>
  <c r="K627" i="1"/>
  <c r="H628" i="1"/>
  <c r="I628" i="1"/>
  <c r="J628" i="1"/>
  <c r="K628" i="1"/>
  <c r="H629" i="1"/>
  <c r="I629" i="1"/>
  <c r="J629" i="1"/>
  <c r="K629" i="1"/>
  <c r="H630" i="1"/>
  <c r="I630" i="1"/>
  <c r="J630" i="1"/>
  <c r="K630" i="1"/>
  <c r="H631" i="1"/>
  <c r="I631" i="1"/>
  <c r="J631" i="1"/>
  <c r="K631" i="1"/>
  <c r="H632" i="1"/>
  <c r="I632" i="1"/>
  <c r="J632" i="1"/>
  <c r="K632" i="1"/>
  <c r="H633" i="1"/>
  <c r="I633" i="1"/>
  <c r="J633" i="1"/>
  <c r="K633" i="1"/>
  <c r="H634" i="1"/>
  <c r="I634" i="1"/>
  <c r="J634" i="1"/>
  <c r="K634" i="1"/>
  <c r="H635" i="1"/>
  <c r="I635" i="1"/>
  <c r="J635" i="1"/>
  <c r="K635" i="1"/>
  <c r="H636" i="1"/>
  <c r="I636" i="1"/>
  <c r="J636" i="1"/>
  <c r="K636" i="1"/>
  <c r="H637" i="1"/>
  <c r="I637" i="1"/>
  <c r="J637" i="1"/>
  <c r="K637" i="1"/>
  <c r="H638" i="1"/>
  <c r="I638" i="1"/>
  <c r="J638" i="1"/>
  <c r="K638" i="1"/>
  <c r="H639" i="1"/>
  <c r="I639" i="1"/>
  <c r="J639" i="1"/>
  <c r="K639" i="1"/>
  <c r="H640" i="1"/>
  <c r="I640" i="1"/>
  <c r="J640" i="1"/>
  <c r="K640" i="1"/>
  <c r="H641" i="1"/>
  <c r="I641" i="1"/>
  <c r="J641" i="1"/>
  <c r="K641" i="1"/>
  <c r="H642" i="1"/>
  <c r="I642" i="1"/>
  <c r="J642" i="1"/>
  <c r="K642" i="1"/>
  <c r="H643" i="1"/>
  <c r="I643" i="1"/>
  <c r="J643" i="1"/>
  <c r="K643" i="1"/>
  <c r="H644" i="1"/>
  <c r="I644" i="1"/>
  <c r="J644" i="1"/>
  <c r="K644" i="1"/>
  <c r="H645" i="1"/>
  <c r="I645" i="1"/>
  <c r="J645" i="1"/>
  <c r="K645" i="1"/>
  <c r="H646" i="1"/>
  <c r="I646" i="1"/>
  <c r="J646" i="1"/>
  <c r="K646" i="1"/>
  <c r="H647" i="1"/>
  <c r="I647" i="1"/>
  <c r="J647" i="1"/>
  <c r="K647" i="1"/>
  <c r="H648" i="1"/>
  <c r="I648" i="1"/>
  <c r="J648" i="1"/>
  <c r="K648" i="1"/>
  <c r="H649" i="1"/>
  <c r="I649" i="1"/>
  <c r="J649" i="1"/>
  <c r="K649" i="1"/>
  <c r="H650" i="1"/>
  <c r="I650" i="1"/>
  <c r="J650" i="1"/>
  <c r="K650" i="1"/>
  <c r="H651" i="1"/>
  <c r="I651" i="1"/>
  <c r="J651" i="1"/>
  <c r="K651" i="1"/>
  <c r="H652" i="1"/>
  <c r="I652" i="1"/>
  <c r="J652" i="1"/>
  <c r="K652" i="1"/>
  <c r="H653" i="1"/>
  <c r="I653" i="1"/>
  <c r="J653" i="1"/>
  <c r="K653" i="1"/>
  <c r="H654" i="1"/>
  <c r="I654" i="1"/>
  <c r="J654" i="1"/>
  <c r="K654" i="1"/>
  <c r="H655" i="1"/>
  <c r="I655" i="1"/>
  <c r="J655" i="1"/>
  <c r="K655" i="1"/>
  <c r="H656" i="1"/>
  <c r="I656" i="1"/>
  <c r="J656" i="1"/>
  <c r="K656" i="1"/>
  <c r="H657" i="1"/>
  <c r="I657" i="1"/>
  <c r="J657" i="1"/>
  <c r="K657" i="1"/>
  <c r="H658" i="1"/>
  <c r="I658" i="1"/>
  <c r="J658" i="1"/>
  <c r="K658" i="1"/>
  <c r="H659" i="1"/>
  <c r="I659" i="1"/>
  <c r="J659" i="1"/>
  <c r="K659" i="1"/>
  <c r="H660" i="1"/>
  <c r="I660" i="1"/>
  <c r="J660" i="1"/>
  <c r="K660" i="1"/>
  <c r="H661" i="1"/>
  <c r="I661" i="1"/>
  <c r="J661" i="1"/>
  <c r="K661" i="1"/>
  <c r="H662" i="1"/>
  <c r="I662" i="1"/>
  <c r="J662" i="1"/>
  <c r="K662" i="1"/>
  <c r="H663" i="1"/>
  <c r="I663" i="1"/>
  <c r="J663" i="1"/>
  <c r="K663" i="1"/>
  <c r="H664" i="1"/>
  <c r="I664" i="1"/>
  <c r="J664" i="1"/>
  <c r="K664" i="1"/>
  <c r="H665" i="1"/>
  <c r="I665" i="1"/>
  <c r="J665" i="1"/>
  <c r="K665" i="1"/>
  <c r="H666" i="1"/>
  <c r="I666" i="1"/>
  <c r="J666" i="1"/>
  <c r="K666" i="1"/>
  <c r="H667" i="1"/>
  <c r="I667" i="1"/>
  <c r="J667" i="1"/>
  <c r="K667" i="1"/>
  <c r="H668" i="1"/>
  <c r="I668" i="1"/>
  <c r="J668" i="1"/>
  <c r="K668" i="1"/>
  <c r="H669" i="1"/>
  <c r="I669" i="1"/>
  <c r="J669" i="1"/>
  <c r="K669" i="1"/>
  <c r="H670" i="1"/>
  <c r="I670" i="1"/>
  <c r="J670" i="1"/>
  <c r="K670" i="1"/>
  <c r="H671" i="1"/>
  <c r="I671" i="1"/>
  <c r="J671" i="1"/>
  <c r="K671" i="1"/>
  <c r="H672" i="1"/>
  <c r="I672" i="1"/>
  <c r="J672" i="1"/>
  <c r="K672" i="1"/>
  <c r="H673" i="1"/>
  <c r="I673" i="1"/>
  <c r="J673" i="1"/>
  <c r="K673" i="1"/>
  <c r="H674" i="1"/>
  <c r="I674" i="1"/>
  <c r="J674" i="1"/>
  <c r="K674" i="1"/>
  <c r="H675" i="1"/>
  <c r="I675" i="1"/>
  <c r="J675" i="1"/>
  <c r="K675" i="1"/>
  <c r="H676" i="1"/>
  <c r="I676" i="1"/>
  <c r="J676" i="1"/>
  <c r="K676" i="1"/>
  <c r="H677" i="1"/>
  <c r="I677" i="1"/>
  <c r="J677" i="1"/>
  <c r="K677" i="1"/>
  <c r="H678" i="1"/>
  <c r="I678" i="1"/>
  <c r="J678" i="1"/>
  <c r="K678" i="1"/>
  <c r="H679" i="1"/>
  <c r="I679" i="1"/>
  <c r="J679" i="1"/>
  <c r="K679" i="1"/>
  <c r="H680" i="1"/>
  <c r="I680" i="1"/>
  <c r="J680" i="1"/>
  <c r="K680" i="1"/>
  <c r="H681" i="1"/>
  <c r="I681" i="1"/>
  <c r="J681" i="1"/>
  <c r="K681" i="1"/>
  <c r="H682" i="1"/>
  <c r="I682" i="1"/>
  <c r="J682" i="1"/>
  <c r="K682" i="1"/>
  <c r="H683" i="1"/>
  <c r="I683" i="1"/>
  <c r="J683" i="1"/>
  <c r="K683" i="1"/>
  <c r="H684" i="1"/>
  <c r="I684" i="1"/>
  <c r="J684" i="1"/>
  <c r="K684" i="1"/>
  <c r="H685" i="1"/>
  <c r="I685" i="1"/>
  <c r="J685" i="1"/>
  <c r="K685" i="1"/>
  <c r="H686" i="1"/>
  <c r="I686" i="1"/>
  <c r="J686" i="1"/>
  <c r="K686" i="1"/>
  <c r="H687" i="1"/>
  <c r="I687" i="1"/>
  <c r="J687" i="1"/>
  <c r="K687" i="1"/>
  <c r="H688" i="1"/>
  <c r="I688" i="1"/>
  <c r="J688" i="1"/>
  <c r="K688" i="1"/>
  <c r="H689" i="1"/>
  <c r="I689" i="1"/>
  <c r="J689" i="1"/>
  <c r="K689" i="1"/>
  <c r="H690" i="1"/>
  <c r="I690" i="1"/>
  <c r="J690" i="1"/>
  <c r="K690" i="1"/>
  <c r="H691" i="1"/>
  <c r="I691" i="1"/>
  <c r="J691" i="1"/>
  <c r="K691" i="1"/>
  <c r="H692" i="1"/>
  <c r="I692" i="1"/>
  <c r="J692" i="1"/>
  <c r="K692" i="1"/>
  <c r="H693" i="1"/>
  <c r="I693" i="1"/>
  <c r="J693" i="1"/>
  <c r="K693" i="1"/>
  <c r="H694" i="1"/>
  <c r="I694" i="1"/>
  <c r="J694" i="1"/>
  <c r="K694" i="1"/>
  <c r="H695" i="1"/>
  <c r="I695" i="1"/>
  <c r="J695" i="1"/>
  <c r="K695" i="1"/>
  <c r="H696" i="1"/>
  <c r="I696" i="1"/>
  <c r="J696" i="1"/>
  <c r="K696" i="1"/>
  <c r="H697" i="1"/>
  <c r="I697" i="1"/>
  <c r="J697" i="1"/>
  <c r="K697" i="1"/>
  <c r="H698" i="1"/>
  <c r="I698" i="1"/>
  <c r="J698" i="1"/>
  <c r="K698" i="1"/>
  <c r="H699" i="1"/>
  <c r="I699" i="1"/>
  <c r="J699" i="1"/>
  <c r="K699" i="1"/>
  <c r="H700" i="1"/>
  <c r="I700" i="1"/>
  <c r="J700" i="1"/>
  <c r="K700" i="1"/>
  <c r="H701" i="1"/>
  <c r="I701" i="1"/>
  <c r="J701" i="1"/>
  <c r="K701" i="1"/>
  <c r="H702" i="1"/>
  <c r="I702" i="1"/>
  <c r="J702" i="1"/>
  <c r="K702" i="1"/>
  <c r="H703" i="1"/>
  <c r="I703" i="1"/>
  <c r="J703" i="1"/>
  <c r="K703" i="1"/>
  <c r="H704" i="1"/>
  <c r="I704" i="1"/>
  <c r="J704" i="1"/>
  <c r="K704" i="1"/>
  <c r="H705" i="1"/>
  <c r="I705" i="1"/>
  <c r="J705" i="1"/>
  <c r="K705" i="1"/>
  <c r="H706" i="1"/>
  <c r="I706" i="1"/>
  <c r="J706" i="1"/>
  <c r="K706" i="1"/>
  <c r="H707" i="1"/>
  <c r="I707" i="1"/>
  <c r="J707" i="1"/>
  <c r="K707" i="1"/>
  <c r="H708" i="1"/>
  <c r="I708" i="1"/>
  <c r="J708" i="1"/>
  <c r="K708" i="1"/>
  <c r="H709" i="1"/>
  <c r="I709" i="1"/>
  <c r="J709" i="1"/>
  <c r="K709" i="1"/>
  <c r="H710" i="1"/>
  <c r="I710" i="1"/>
  <c r="J710" i="1"/>
  <c r="K710" i="1"/>
  <c r="H711" i="1"/>
  <c r="I711" i="1"/>
  <c r="J711" i="1"/>
  <c r="K711" i="1"/>
  <c r="H712" i="1"/>
  <c r="I712" i="1"/>
  <c r="J712" i="1"/>
  <c r="K712" i="1"/>
  <c r="H713" i="1"/>
  <c r="I713" i="1"/>
  <c r="J713" i="1"/>
  <c r="K713" i="1"/>
  <c r="H714" i="1"/>
  <c r="I714" i="1"/>
  <c r="J714" i="1"/>
  <c r="K714" i="1"/>
  <c r="H715" i="1"/>
  <c r="I715" i="1"/>
  <c r="J715" i="1"/>
  <c r="K715" i="1"/>
  <c r="H716" i="1"/>
  <c r="I716" i="1"/>
  <c r="J716" i="1"/>
  <c r="K716" i="1"/>
  <c r="H717" i="1"/>
  <c r="I717" i="1"/>
  <c r="J717" i="1"/>
  <c r="K717" i="1"/>
  <c r="H718" i="1"/>
  <c r="I718" i="1"/>
  <c r="J718" i="1"/>
  <c r="K718" i="1"/>
  <c r="H719" i="1"/>
  <c r="I719" i="1"/>
  <c r="J719" i="1"/>
  <c r="K719" i="1"/>
  <c r="H720" i="1"/>
  <c r="I720" i="1"/>
  <c r="J720" i="1"/>
  <c r="K720" i="1"/>
  <c r="H721" i="1"/>
  <c r="I721" i="1"/>
  <c r="J721" i="1"/>
  <c r="K721" i="1"/>
  <c r="H722" i="1"/>
  <c r="I722" i="1"/>
  <c r="J722" i="1"/>
  <c r="K722" i="1"/>
  <c r="H723" i="1"/>
  <c r="I723" i="1"/>
  <c r="J723" i="1"/>
  <c r="K723" i="1"/>
  <c r="H724" i="1"/>
  <c r="I724" i="1"/>
  <c r="J724" i="1"/>
  <c r="K724" i="1"/>
  <c r="H725" i="1"/>
  <c r="I725" i="1"/>
  <c r="J725" i="1"/>
  <c r="K725" i="1"/>
  <c r="H726" i="1"/>
  <c r="I726" i="1"/>
  <c r="J726" i="1"/>
  <c r="K726" i="1"/>
  <c r="H727" i="1"/>
  <c r="I727" i="1"/>
  <c r="J727" i="1"/>
  <c r="K727" i="1"/>
  <c r="H728" i="1"/>
  <c r="I728" i="1"/>
  <c r="J728" i="1"/>
  <c r="K728" i="1"/>
  <c r="H729" i="1"/>
  <c r="I729" i="1"/>
  <c r="J729" i="1"/>
  <c r="K729" i="1"/>
  <c r="H730" i="1"/>
  <c r="I730" i="1"/>
  <c r="J730" i="1"/>
  <c r="K730" i="1"/>
  <c r="H731" i="1"/>
  <c r="I731" i="1"/>
  <c r="J731" i="1"/>
  <c r="K731" i="1"/>
  <c r="H732" i="1"/>
  <c r="I732" i="1"/>
  <c r="J732" i="1"/>
  <c r="K732" i="1"/>
  <c r="H733" i="1"/>
  <c r="I733" i="1"/>
  <c r="J733" i="1"/>
  <c r="K733" i="1"/>
  <c r="H734" i="1"/>
  <c r="I734" i="1"/>
  <c r="J734" i="1"/>
  <c r="K734" i="1"/>
  <c r="H735" i="1"/>
  <c r="I735" i="1"/>
  <c r="J735" i="1"/>
  <c r="K735" i="1"/>
  <c r="H736" i="1"/>
  <c r="I736" i="1"/>
  <c r="J736" i="1"/>
  <c r="K736" i="1"/>
  <c r="H737" i="1"/>
  <c r="I737" i="1"/>
  <c r="J737" i="1"/>
  <c r="K737" i="1"/>
  <c r="H738" i="1"/>
  <c r="I738" i="1"/>
  <c r="J738" i="1"/>
  <c r="K738" i="1"/>
  <c r="H739" i="1"/>
  <c r="I739" i="1"/>
  <c r="J739" i="1"/>
  <c r="K739" i="1"/>
  <c r="H740" i="1"/>
  <c r="I740" i="1"/>
  <c r="J740" i="1"/>
  <c r="K740" i="1"/>
  <c r="H741" i="1"/>
  <c r="I741" i="1"/>
  <c r="J741" i="1"/>
  <c r="K741" i="1"/>
  <c r="H742" i="1"/>
  <c r="I742" i="1"/>
  <c r="J742" i="1"/>
  <c r="K742" i="1"/>
  <c r="H743" i="1"/>
  <c r="I743" i="1"/>
  <c r="J743" i="1"/>
  <c r="K743" i="1"/>
  <c r="H744" i="1"/>
  <c r="I744" i="1"/>
  <c r="J744" i="1"/>
  <c r="K744" i="1"/>
  <c r="H745" i="1"/>
  <c r="I745" i="1"/>
  <c r="J745" i="1"/>
  <c r="K745" i="1"/>
  <c r="H746" i="1"/>
  <c r="I746" i="1"/>
  <c r="J746" i="1"/>
  <c r="K746" i="1"/>
  <c r="H747" i="1"/>
  <c r="I747" i="1"/>
  <c r="J747" i="1"/>
  <c r="K747" i="1"/>
  <c r="H748" i="1"/>
  <c r="I748" i="1"/>
  <c r="J748" i="1"/>
  <c r="K748" i="1"/>
  <c r="H749" i="1"/>
  <c r="I749" i="1"/>
  <c r="J749" i="1"/>
  <c r="K749" i="1"/>
  <c r="H750" i="1"/>
  <c r="I750" i="1"/>
  <c r="J750" i="1"/>
  <c r="K750" i="1"/>
  <c r="H751" i="1"/>
  <c r="I751" i="1"/>
  <c r="J751" i="1"/>
  <c r="K751" i="1"/>
  <c r="H752" i="1"/>
  <c r="I752" i="1"/>
  <c r="J752" i="1"/>
  <c r="K752" i="1"/>
  <c r="H753" i="1"/>
  <c r="I753" i="1"/>
  <c r="J753" i="1"/>
  <c r="K753" i="1"/>
  <c r="H754" i="1"/>
  <c r="I754" i="1"/>
  <c r="J754" i="1"/>
  <c r="K754" i="1"/>
  <c r="H755" i="1"/>
  <c r="I755" i="1"/>
  <c r="J755" i="1"/>
  <c r="K755" i="1"/>
  <c r="H756" i="1"/>
  <c r="I756" i="1"/>
  <c r="J756" i="1"/>
  <c r="K756" i="1"/>
  <c r="H757" i="1"/>
  <c r="I757" i="1"/>
  <c r="J757" i="1"/>
  <c r="K757" i="1"/>
  <c r="H758" i="1"/>
  <c r="I758" i="1"/>
  <c r="J758" i="1"/>
  <c r="K758" i="1"/>
  <c r="H759" i="1"/>
  <c r="I759" i="1"/>
  <c r="J759" i="1"/>
  <c r="K759" i="1"/>
  <c r="H760" i="1"/>
  <c r="I760" i="1"/>
  <c r="J760" i="1"/>
  <c r="K760" i="1"/>
  <c r="H761" i="1"/>
  <c r="I761" i="1"/>
  <c r="J761" i="1"/>
  <c r="K761" i="1"/>
  <c r="H762" i="1"/>
  <c r="I762" i="1"/>
  <c r="J762" i="1"/>
  <c r="K762" i="1"/>
  <c r="H763" i="1"/>
  <c r="I763" i="1"/>
  <c r="J763" i="1"/>
  <c r="K763" i="1"/>
  <c r="H764" i="1"/>
  <c r="I764" i="1"/>
  <c r="J764" i="1"/>
  <c r="K764" i="1"/>
  <c r="H765" i="1"/>
  <c r="I765" i="1"/>
  <c r="J765" i="1"/>
  <c r="K765" i="1"/>
  <c r="H766" i="1"/>
  <c r="I766" i="1"/>
  <c r="J766" i="1"/>
  <c r="K766" i="1"/>
  <c r="H767" i="1"/>
  <c r="I767" i="1"/>
  <c r="J767" i="1"/>
  <c r="K767" i="1"/>
  <c r="H768" i="1"/>
  <c r="I768" i="1"/>
  <c r="J768" i="1"/>
  <c r="K768" i="1"/>
  <c r="H769" i="1"/>
  <c r="I769" i="1"/>
  <c r="J769" i="1"/>
  <c r="K769" i="1"/>
  <c r="H770" i="1"/>
  <c r="I770" i="1"/>
  <c r="J770" i="1"/>
  <c r="K770" i="1"/>
  <c r="H771" i="1"/>
  <c r="I771" i="1"/>
  <c r="J771" i="1"/>
  <c r="K771" i="1"/>
  <c r="H772" i="1"/>
  <c r="I772" i="1"/>
  <c r="J772" i="1"/>
  <c r="K772" i="1"/>
  <c r="H773" i="1"/>
  <c r="I773" i="1"/>
  <c r="J773" i="1"/>
  <c r="K773" i="1"/>
  <c r="H774" i="1"/>
  <c r="I774" i="1"/>
  <c r="J774" i="1"/>
  <c r="K774" i="1"/>
  <c r="H775" i="1"/>
  <c r="I775" i="1"/>
  <c r="J775" i="1"/>
  <c r="K775" i="1"/>
  <c r="H776" i="1"/>
  <c r="I776" i="1"/>
  <c r="J776" i="1"/>
  <c r="K776" i="1"/>
  <c r="H777" i="1"/>
  <c r="I777" i="1"/>
  <c r="J777" i="1"/>
  <c r="K777" i="1"/>
  <c r="H778" i="1"/>
  <c r="I778" i="1"/>
  <c r="J778" i="1"/>
  <c r="K778" i="1"/>
  <c r="H779" i="1"/>
  <c r="I779" i="1"/>
  <c r="J779" i="1"/>
  <c r="K779" i="1"/>
  <c r="H780" i="1"/>
  <c r="I780" i="1"/>
  <c r="J780" i="1"/>
  <c r="K780" i="1"/>
  <c r="H781" i="1"/>
  <c r="I781" i="1"/>
  <c r="J781" i="1"/>
  <c r="K781" i="1"/>
  <c r="H782" i="1"/>
  <c r="I782" i="1"/>
  <c r="J782" i="1"/>
  <c r="K782" i="1"/>
  <c r="H783" i="1"/>
  <c r="I783" i="1"/>
  <c r="J783" i="1"/>
  <c r="K783" i="1"/>
  <c r="H784" i="1"/>
  <c r="I784" i="1"/>
  <c r="J784" i="1"/>
  <c r="K784" i="1"/>
  <c r="H785" i="1"/>
  <c r="I785" i="1"/>
  <c r="J785" i="1"/>
  <c r="K785" i="1"/>
  <c r="H786" i="1"/>
  <c r="I786" i="1"/>
  <c r="J786" i="1"/>
  <c r="K786" i="1"/>
  <c r="H787" i="1"/>
  <c r="I787" i="1"/>
  <c r="J787" i="1"/>
  <c r="K787" i="1"/>
  <c r="H788" i="1"/>
  <c r="I788" i="1"/>
  <c r="J788" i="1"/>
  <c r="K788" i="1"/>
  <c r="H789" i="1"/>
  <c r="I789" i="1"/>
  <c r="J789" i="1"/>
  <c r="K789" i="1"/>
  <c r="H790" i="1"/>
  <c r="I790" i="1"/>
  <c r="J790" i="1"/>
  <c r="K790" i="1"/>
  <c r="H791" i="1"/>
  <c r="I791" i="1"/>
  <c r="J791" i="1"/>
  <c r="K791" i="1"/>
  <c r="H792" i="1"/>
  <c r="I792" i="1"/>
  <c r="J792" i="1"/>
  <c r="K792" i="1"/>
  <c r="H793" i="1"/>
  <c r="I793" i="1"/>
  <c r="J793" i="1"/>
  <c r="K793" i="1"/>
  <c r="H794" i="1"/>
  <c r="I794" i="1"/>
  <c r="J794" i="1"/>
  <c r="K794" i="1"/>
  <c r="H795" i="1"/>
  <c r="I795" i="1"/>
  <c r="J795" i="1"/>
  <c r="K795" i="1"/>
  <c r="H796" i="1"/>
  <c r="I796" i="1"/>
  <c r="J796" i="1"/>
  <c r="K796" i="1"/>
  <c r="H797" i="1"/>
  <c r="I797" i="1"/>
  <c r="J797" i="1"/>
  <c r="K797" i="1"/>
  <c r="H798" i="1"/>
  <c r="I798" i="1"/>
  <c r="J798" i="1"/>
  <c r="K798" i="1"/>
  <c r="H799" i="1"/>
  <c r="I799" i="1"/>
  <c r="J799" i="1"/>
  <c r="K799" i="1"/>
  <c r="H800" i="1"/>
  <c r="I800" i="1"/>
  <c r="J800" i="1"/>
  <c r="K800" i="1"/>
  <c r="H801" i="1"/>
  <c r="I801" i="1"/>
  <c r="J801" i="1"/>
  <c r="K801" i="1"/>
  <c r="H802" i="1"/>
  <c r="I802" i="1"/>
  <c r="J802" i="1"/>
  <c r="K802" i="1"/>
  <c r="H803" i="1"/>
  <c r="I803" i="1"/>
  <c r="J803" i="1"/>
  <c r="K803" i="1"/>
  <c r="H804" i="1"/>
  <c r="I804" i="1"/>
  <c r="J804" i="1"/>
  <c r="K804" i="1"/>
  <c r="H805" i="1"/>
  <c r="I805" i="1"/>
  <c r="J805" i="1"/>
  <c r="K805" i="1"/>
  <c r="H806" i="1"/>
  <c r="I806" i="1"/>
  <c r="J806" i="1"/>
  <c r="K806" i="1"/>
  <c r="H807" i="1"/>
  <c r="I807" i="1"/>
  <c r="J807" i="1"/>
  <c r="K807" i="1"/>
  <c r="H808" i="1"/>
  <c r="I808" i="1"/>
  <c r="J808" i="1"/>
  <c r="K808" i="1"/>
  <c r="H809" i="1"/>
  <c r="I809" i="1"/>
  <c r="J809" i="1"/>
  <c r="K809" i="1"/>
  <c r="H810" i="1"/>
  <c r="I810" i="1"/>
  <c r="J810" i="1"/>
  <c r="K810" i="1"/>
  <c r="H811" i="1"/>
  <c r="I811" i="1"/>
  <c r="J811" i="1"/>
  <c r="K811" i="1"/>
  <c r="H812" i="1"/>
  <c r="I812" i="1"/>
  <c r="J812" i="1"/>
  <c r="K812" i="1"/>
  <c r="H813" i="1"/>
  <c r="I813" i="1"/>
  <c r="J813" i="1"/>
  <c r="K813" i="1"/>
  <c r="H814" i="1"/>
  <c r="I814" i="1"/>
  <c r="J814" i="1"/>
  <c r="K814" i="1"/>
  <c r="H815" i="1"/>
  <c r="I815" i="1"/>
  <c r="J815" i="1"/>
  <c r="K815" i="1"/>
  <c r="H816" i="1"/>
  <c r="I816" i="1"/>
  <c r="J816" i="1"/>
  <c r="K816" i="1"/>
  <c r="H817" i="1"/>
  <c r="I817" i="1"/>
  <c r="J817" i="1"/>
  <c r="K817" i="1"/>
  <c r="H818" i="1"/>
  <c r="I818" i="1"/>
  <c r="J818" i="1"/>
  <c r="K818" i="1"/>
  <c r="H819" i="1"/>
  <c r="I819" i="1"/>
  <c r="J819" i="1"/>
  <c r="K819" i="1"/>
  <c r="H820" i="1"/>
  <c r="I820" i="1"/>
  <c r="J820" i="1"/>
  <c r="K820" i="1"/>
  <c r="H821" i="1"/>
  <c r="I821" i="1"/>
  <c r="J821" i="1"/>
  <c r="K821" i="1"/>
  <c r="H822" i="1"/>
  <c r="I822" i="1"/>
  <c r="J822" i="1"/>
  <c r="K822" i="1"/>
  <c r="H823" i="1"/>
  <c r="I823" i="1"/>
  <c r="J823" i="1"/>
  <c r="K823" i="1"/>
  <c r="H824" i="1"/>
  <c r="I824" i="1"/>
  <c r="J824" i="1"/>
  <c r="K824" i="1"/>
  <c r="H825" i="1"/>
  <c r="I825" i="1"/>
  <c r="J825" i="1"/>
  <c r="K825" i="1"/>
  <c r="H826" i="1"/>
  <c r="I826" i="1"/>
  <c r="J826" i="1"/>
  <c r="K826" i="1"/>
  <c r="H827" i="1"/>
  <c r="I827" i="1"/>
  <c r="J827" i="1"/>
  <c r="K827" i="1"/>
  <c r="H828" i="1"/>
  <c r="I828" i="1"/>
  <c r="J828" i="1"/>
  <c r="K828" i="1"/>
  <c r="H829" i="1"/>
  <c r="I829" i="1"/>
  <c r="J829" i="1"/>
  <c r="K829" i="1"/>
  <c r="H830" i="1"/>
  <c r="I830" i="1"/>
  <c r="J830" i="1"/>
  <c r="K830" i="1"/>
  <c r="H831" i="1"/>
  <c r="I831" i="1"/>
  <c r="J831" i="1"/>
  <c r="K831" i="1"/>
  <c r="H832" i="1"/>
  <c r="I832" i="1"/>
  <c r="J832" i="1"/>
  <c r="K832" i="1"/>
  <c r="H833" i="1"/>
  <c r="I833" i="1"/>
  <c r="J833" i="1"/>
  <c r="K833" i="1"/>
  <c r="H834" i="1"/>
  <c r="I834" i="1"/>
  <c r="J834" i="1"/>
  <c r="K834" i="1"/>
  <c r="H835" i="1"/>
  <c r="I835" i="1"/>
  <c r="J835" i="1"/>
  <c r="K835" i="1"/>
  <c r="H836" i="1"/>
  <c r="I836" i="1"/>
  <c r="J836" i="1"/>
  <c r="K836" i="1"/>
  <c r="H837" i="1"/>
  <c r="I837" i="1"/>
  <c r="J837" i="1"/>
  <c r="K837" i="1"/>
  <c r="H838" i="1"/>
  <c r="I838" i="1"/>
  <c r="J838" i="1"/>
  <c r="K838" i="1"/>
  <c r="H839" i="1"/>
  <c r="I839" i="1"/>
  <c r="J839" i="1"/>
  <c r="K839" i="1"/>
  <c r="H840" i="1"/>
  <c r="I840" i="1"/>
  <c r="J840" i="1"/>
  <c r="K840" i="1"/>
  <c r="H841" i="1"/>
  <c r="I841" i="1"/>
  <c r="J841" i="1"/>
  <c r="K841" i="1"/>
  <c r="H842" i="1"/>
  <c r="I842" i="1"/>
  <c r="J842" i="1"/>
  <c r="K842" i="1"/>
  <c r="H843" i="1"/>
  <c r="I843" i="1"/>
  <c r="J843" i="1"/>
  <c r="K843" i="1"/>
  <c r="H844" i="1"/>
  <c r="I844" i="1"/>
  <c r="J844" i="1"/>
  <c r="K844" i="1"/>
  <c r="H845" i="1"/>
  <c r="I845" i="1"/>
  <c r="J845" i="1"/>
  <c r="K845" i="1"/>
  <c r="H846" i="1"/>
  <c r="I846" i="1"/>
  <c r="J846" i="1"/>
  <c r="K846" i="1"/>
  <c r="H847" i="1"/>
  <c r="I847" i="1"/>
  <c r="J847" i="1"/>
  <c r="K847" i="1"/>
  <c r="H848" i="1"/>
  <c r="I848" i="1"/>
  <c r="J848" i="1"/>
  <c r="K848" i="1"/>
  <c r="H849" i="1"/>
  <c r="I849" i="1"/>
  <c r="J849" i="1"/>
  <c r="K849" i="1"/>
  <c r="H850" i="1"/>
  <c r="I850" i="1"/>
  <c r="J850" i="1"/>
  <c r="K850" i="1"/>
  <c r="H851" i="1"/>
  <c r="I851" i="1"/>
  <c r="J851" i="1"/>
  <c r="K851" i="1"/>
  <c r="H852" i="1"/>
  <c r="I852" i="1"/>
  <c r="J852" i="1"/>
  <c r="K852" i="1"/>
  <c r="H853" i="1"/>
  <c r="I853" i="1"/>
  <c r="J853" i="1"/>
  <c r="K853" i="1"/>
  <c r="H854" i="1"/>
  <c r="I854" i="1"/>
  <c r="J854" i="1"/>
  <c r="K854" i="1"/>
  <c r="H855" i="1"/>
  <c r="I855" i="1"/>
  <c r="J855" i="1"/>
  <c r="K855" i="1"/>
  <c r="H856" i="1"/>
  <c r="I856" i="1"/>
  <c r="J856" i="1"/>
  <c r="K856" i="1"/>
  <c r="H857" i="1"/>
  <c r="I857" i="1"/>
  <c r="J857" i="1"/>
  <c r="K857" i="1"/>
  <c r="H858" i="1"/>
  <c r="I858" i="1"/>
  <c r="J858" i="1"/>
  <c r="K858" i="1"/>
  <c r="H859" i="1"/>
  <c r="I859" i="1"/>
  <c r="J859" i="1"/>
  <c r="K859" i="1"/>
  <c r="H860" i="1"/>
  <c r="I860" i="1"/>
  <c r="J860" i="1"/>
  <c r="K860" i="1"/>
  <c r="H861" i="1"/>
  <c r="I861" i="1"/>
  <c r="J861" i="1"/>
  <c r="K861" i="1"/>
  <c r="H862" i="1"/>
  <c r="I862" i="1"/>
  <c r="J862" i="1"/>
  <c r="K862" i="1"/>
  <c r="H863" i="1"/>
  <c r="I863" i="1"/>
  <c r="J863" i="1"/>
  <c r="K863" i="1"/>
  <c r="H864" i="1"/>
  <c r="I864" i="1"/>
  <c r="J864" i="1"/>
  <c r="K864" i="1"/>
  <c r="H865" i="1"/>
  <c r="I865" i="1"/>
  <c r="J865" i="1"/>
  <c r="K865" i="1"/>
  <c r="H866" i="1"/>
  <c r="I866" i="1"/>
  <c r="J866" i="1"/>
  <c r="K866" i="1"/>
  <c r="H867" i="1"/>
  <c r="I867" i="1"/>
  <c r="J867" i="1"/>
  <c r="K867" i="1"/>
  <c r="H868" i="1"/>
  <c r="I868" i="1"/>
  <c r="J868" i="1"/>
  <c r="K868" i="1"/>
  <c r="H869" i="1"/>
  <c r="I869" i="1"/>
  <c r="J869" i="1"/>
  <c r="K869" i="1"/>
  <c r="H870" i="1"/>
  <c r="I870" i="1"/>
  <c r="J870" i="1"/>
  <c r="K870" i="1"/>
  <c r="H871" i="1"/>
  <c r="I871" i="1"/>
  <c r="J871" i="1"/>
  <c r="K871" i="1"/>
  <c r="H872" i="1"/>
  <c r="I872" i="1"/>
  <c r="J872" i="1"/>
  <c r="K872" i="1"/>
  <c r="H873" i="1"/>
  <c r="I873" i="1"/>
  <c r="J873" i="1"/>
  <c r="K873" i="1"/>
  <c r="H874" i="1"/>
  <c r="I874" i="1"/>
  <c r="J874" i="1"/>
  <c r="K874" i="1"/>
  <c r="H875" i="1"/>
  <c r="I875" i="1"/>
  <c r="J875" i="1"/>
  <c r="K875" i="1"/>
  <c r="H876" i="1"/>
  <c r="I876" i="1"/>
  <c r="J876" i="1"/>
  <c r="K876" i="1"/>
  <c r="H877" i="1"/>
  <c r="I877" i="1"/>
  <c r="J877" i="1"/>
  <c r="K877" i="1"/>
  <c r="H878" i="1"/>
  <c r="I878" i="1"/>
  <c r="J878" i="1"/>
  <c r="K878" i="1"/>
  <c r="H879" i="1"/>
  <c r="I879" i="1"/>
  <c r="J879" i="1"/>
  <c r="K879" i="1"/>
  <c r="H880" i="1"/>
  <c r="I880" i="1"/>
  <c r="J880" i="1"/>
  <c r="K880" i="1"/>
  <c r="H881" i="1"/>
  <c r="I881" i="1"/>
  <c r="J881" i="1"/>
  <c r="K881" i="1"/>
  <c r="H882" i="1"/>
  <c r="I882" i="1"/>
  <c r="J882" i="1"/>
  <c r="K882" i="1"/>
  <c r="H883" i="1"/>
  <c r="I883" i="1"/>
  <c r="J883" i="1"/>
  <c r="K883" i="1"/>
  <c r="H884" i="1"/>
  <c r="I884" i="1"/>
  <c r="J884" i="1"/>
  <c r="K884" i="1"/>
  <c r="H885" i="1"/>
  <c r="I885" i="1"/>
  <c r="J885" i="1"/>
  <c r="K885" i="1"/>
  <c r="H886" i="1"/>
  <c r="I886" i="1"/>
  <c r="J886" i="1"/>
  <c r="K886" i="1"/>
  <c r="H887" i="1"/>
  <c r="I887" i="1"/>
  <c r="J887" i="1"/>
  <c r="K887" i="1"/>
  <c r="H888" i="1"/>
  <c r="I888" i="1"/>
  <c r="J888" i="1"/>
  <c r="K888" i="1"/>
  <c r="H889" i="1"/>
  <c r="I889" i="1"/>
  <c r="J889" i="1"/>
  <c r="K889" i="1"/>
  <c r="H890" i="1"/>
  <c r="I890" i="1"/>
  <c r="J890" i="1"/>
  <c r="K890" i="1"/>
  <c r="H891" i="1"/>
  <c r="I891" i="1"/>
  <c r="J891" i="1"/>
  <c r="K891" i="1"/>
  <c r="H892" i="1"/>
  <c r="I892" i="1"/>
  <c r="J892" i="1"/>
  <c r="K892" i="1"/>
  <c r="H893" i="1"/>
  <c r="I893" i="1"/>
  <c r="J893" i="1"/>
  <c r="K893" i="1"/>
  <c r="H894" i="1"/>
  <c r="I894" i="1"/>
  <c r="J894" i="1"/>
  <c r="K894" i="1"/>
  <c r="H895" i="1"/>
  <c r="I895" i="1"/>
  <c r="J895" i="1"/>
  <c r="K895" i="1"/>
  <c r="H896" i="1"/>
  <c r="I896" i="1"/>
  <c r="J896" i="1"/>
  <c r="K896" i="1"/>
  <c r="H897" i="1"/>
  <c r="I897" i="1"/>
  <c r="J897" i="1"/>
  <c r="K897" i="1"/>
  <c r="H898" i="1"/>
  <c r="I898" i="1"/>
  <c r="J898" i="1"/>
  <c r="K898" i="1"/>
  <c r="H899" i="1"/>
  <c r="I899" i="1"/>
  <c r="J899" i="1"/>
  <c r="K899" i="1"/>
  <c r="H900" i="1"/>
  <c r="I900" i="1"/>
  <c r="J900" i="1"/>
  <c r="K900" i="1"/>
  <c r="H901" i="1"/>
  <c r="I901" i="1"/>
  <c r="J901" i="1"/>
  <c r="K901" i="1"/>
  <c r="H902" i="1"/>
  <c r="I902" i="1"/>
  <c r="J902" i="1"/>
  <c r="K902" i="1"/>
  <c r="H903" i="1"/>
  <c r="I903" i="1"/>
  <c r="J903" i="1"/>
  <c r="K903" i="1"/>
  <c r="H904" i="1"/>
  <c r="I904" i="1"/>
  <c r="J904" i="1"/>
  <c r="K904" i="1"/>
  <c r="H905" i="1"/>
  <c r="I905" i="1"/>
  <c r="J905" i="1"/>
  <c r="K905" i="1"/>
  <c r="H906" i="1"/>
  <c r="I906" i="1"/>
  <c r="J906" i="1"/>
  <c r="K906" i="1"/>
  <c r="H907" i="1"/>
  <c r="I907" i="1"/>
  <c r="J907" i="1"/>
  <c r="K907" i="1"/>
  <c r="H908" i="1"/>
  <c r="I908" i="1"/>
  <c r="J908" i="1"/>
  <c r="K908" i="1"/>
  <c r="H909" i="1"/>
  <c r="I909" i="1"/>
  <c r="J909" i="1"/>
  <c r="K909" i="1"/>
  <c r="H910" i="1"/>
  <c r="I910" i="1"/>
  <c r="J910" i="1"/>
  <c r="K910" i="1"/>
  <c r="H911" i="1"/>
  <c r="I911" i="1"/>
  <c r="J911" i="1"/>
  <c r="K911" i="1"/>
  <c r="H912" i="1"/>
  <c r="I912" i="1"/>
  <c r="J912" i="1"/>
  <c r="K912" i="1"/>
  <c r="H913" i="1"/>
  <c r="I913" i="1"/>
  <c r="J913" i="1"/>
  <c r="K913" i="1"/>
  <c r="H914" i="1"/>
  <c r="I914" i="1"/>
  <c r="J914" i="1"/>
  <c r="K914" i="1"/>
  <c r="H915" i="1"/>
  <c r="I915" i="1"/>
  <c r="J915" i="1"/>
  <c r="K915" i="1"/>
  <c r="H916" i="1"/>
  <c r="I916" i="1"/>
  <c r="J916" i="1"/>
  <c r="K916" i="1"/>
  <c r="H917" i="1"/>
  <c r="I917" i="1"/>
  <c r="J917" i="1"/>
  <c r="K917" i="1"/>
  <c r="H918" i="1"/>
  <c r="I918" i="1"/>
  <c r="J918" i="1"/>
  <c r="K918" i="1"/>
  <c r="H919" i="1"/>
  <c r="I919" i="1"/>
  <c r="J919" i="1"/>
  <c r="K919" i="1"/>
  <c r="H920" i="1"/>
  <c r="I920" i="1"/>
  <c r="J920" i="1"/>
  <c r="K920" i="1"/>
  <c r="H921" i="1"/>
  <c r="I921" i="1"/>
  <c r="J921" i="1"/>
  <c r="K921" i="1"/>
  <c r="H922" i="1"/>
  <c r="I922" i="1"/>
  <c r="J922" i="1"/>
  <c r="K922" i="1"/>
  <c r="H923" i="1"/>
  <c r="I923" i="1"/>
  <c r="J923" i="1"/>
  <c r="K923" i="1"/>
  <c r="H924" i="1"/>
  <c r="I924" i="1"/>
  <c r="J924" i="1"/>
  <c r="K924" i="1"/>
  <c r="H925" i="1"/>
  <c r="I925" i="1"/>
  <c r="J925" i="1"/>
  <c r="K925" i="1"/>
  <c r="H926" i="1"/>
  <c r="I926" i="1"/>
  <c r="J926" i="1"/>
  <c r="K926" i="1"/>
  <c r="H927" i="1"/>
  <c r="I927" i="1"/>
  <c r="J927" i="1"/>
  <c r="K927" i="1"/>
  <c r="H928" i="1"/>
  <c r="I928" i="1"/>
  <c r="J928" i="1"/>
  <c r="K928" i="1"/>
  <c r="H929" i="1"/>
  <c r="I929" i="1"/>
  <c r="J929" i="1"/>
  <c r="K929" i="1"/>
  <c r="H930" i="1"/>
  <c r="I930" i="1"/>
  <c r="J930" i="1"/>
  <c r="K930" i="1"/>
  <c r="H931" i="1"/>
  <c r="I931" i="1"/>
  <c r="J931" i="1"/>
  <c r="K931" i="1"/>
  <c r="H932" i="1"/>
  <c r="I932" i="1"/>
  <c r="J932" i="1"/>
  <c r="K932" i="1"/>
  <c r="H933" i="1"/>
  <c r="I933" i="1"/>
  <c r="J933" i="1"/>
  <c r="K933" i="1"/>
  <c r="H934" i="1"/>
  <c r="I934" i="1"/>
  <c r="J934" i="1"/>
  <c r="K934" i="1"/>
  <c r="H935" i="1"/>
  <c r="I935" i="1"/>
  <c r="J935" i="1"/>
  <c r="K935" i="1"/>
  <c r="H936" i="1"/>
  <c r="I936" i="1"/>
  <c r="J936" i="1"/>
  <c r="K936" i="1"/>
  <c r="H937" i="1"/>
  <c r="I937" i="1"/>
  <c r="J937" i="1"/>
  <c r="K937" i="1"/>
  <c r="H938" i="1"/>
  <c r="I938" i="1"/>
  <c r="J938" i="1"/>
  <c r="K938" i="1"/>
  <c r="H939" i="1"/>
  <c r="I939" i="1"/>
  <c r="J939" i="1"/>
  <c r="K939" i="1"/>
  <c r="H940" i="1"/>
  <c r="I940" i="1"/>
  <c r="J940" i="1"/>
  <c r="K940" i="1"/>
  <c r="H941" i="1"/>
  <c r="I941" i="1"/>
  <c r="J941" i="1"/>
  <c r="K941" i="1"/>
  <c r="H942" i="1"/>
  <c r="I942" i="1"/>
  <c r="J942" i="1"/>
  <c r="K942" i="1"/>
  <c r="H943" i="1"/>
  <c r="I943" i="1"/>
  <c r="J943" i="1"/>
  <c r="K943" i="1"/>
  <c r="H944" i="1"/>
  <c r="I944" i="1"/>
  <c r="J944" i="1"/>
  <c r="K944" i="1"/>
  <c r="H945" i="1"/>
  <c r="I945" i="1"/>
  <c r="J945" i="1"/>
  <c r="K945" i="1"/>
  <c r="H946" i="1"/>
  <c r="I946" i="1"/>
  <c r="J946" i="1"/>
  <c r="K946" i="1"/>
  <c r="H947" i="1"/>
  <c r="I947" i="1"/>
  <c r="J947" i="1"/>
  <c r="K947" i="1"/>
  <c r="H948" i="1"/>
  <c r="I948" i="1"/>
  <c r="J948" i="1"/>
  <c r="K948" i="1"/>
  <c r="H949" i="1"/>
  <c r="I949" i="1"/>
  <c r="J949" i="1"/>
  <c r="K949" i="1"/>
  <c r="H950" i="1"/>
  <c r="I950" i="1"/>
  <c r="J950" i="1"/>
  <c r="K950" i="1"/>
  <c r="H951" i="1"/>
  <c r="I951" i="1"/>
  <c r="J951" i="1"/>
  <c r="K951" i="1"/>
  <c r="H952" i="1"/>
  <c r="I952" i="1"/>
  <c r="J952" i="1"/>
  <c r="K952" i="1"/>
  <c r="H953" i="1"/>
  <c r="I953" i="1"/>
  <c r="J953" i="1"/>
  <c r="K953" i="1"/>
  <c r="H954" i="1"/>
  <c r="I954" i="1"/>
  <c r="J954" i="1"/>
  <c r="K954" i="1"/>
  <c r="H955" i="1"/>
  <c r="I955" i="1"/>
  <c r="J955" i="1"/>
  <c r="K955" i="1"/>
  <c r="H956" i="1"/>
  <c r="I956" i="1"/>
  <c r="J956" i="1"/>
  <c r="K956" i="1"/>
  <c r="H957" i="1"/>
  <c r="I957" i="1"/>
  <c r="J957" i="1"/>
  <c r="K957" i="1"/>
  <c r="H958" i="1"/>
  <c r="I958" i="1"/>
  <c r="J958" i="1"/>
  <c r="K958" i="1"/>
  <c r="H959" i="1"/>
  <c r="I959" i="1"/>
  <c r="J959" i="1"/>
  <c r="K959" i="1"/>
  <c r="H960" i="1"/>
  <c r="I960" i="1"/>
  <c r="J960" i="1"/>
  <c r="K960" i="1"/>
  <c r="H961" i="1"/>
  <c r="I961" i="1"/>
  <c r="J961" i="1"/>
  <c r="K961" i="1"/>
  <c r="H962" i="1"/>
  <c r="I962" i="1"/>
  <c r="J962" i="1"/>
  <c r="K962" i="1"/>
  <c r="H963" i="1"/>
  <c r="I963" i="1"/>
  <c r="J963" i="1"/>
  <c r="K963" i="1"/>
  <c r="H964" i="1"/>
  <c r="I964" i="1"/>
  <c r="J964" i="1"/>
  <c r="K964" i="1"/>
  <c r="H965" i="1"/>
  <c r="I965" i="1"/>
  <c r="J965" i="1"/>
  <c r="K965" i="1"/>
  <c r="H966" i="1"/>
  <c r="I966" i="1"/>
  <c r="J966" i="1"/>
  <c r="K966" i="1"/>
  <c r="H967" i="1"/>
  <c r="I967" i="1"/>
  <c r="J967" i="1"/>
  <c r="K967" i="1"/>
  <c r="H968" i="1"/>
  <c r="I968" i="1"/>
  <c r="J968" i="1"/>
  <c r="K968" i="1"/>
  <c r="H969" i="1"/>
  <c r="I969" i="1"/>
  <c r="J969" i="1"/>
  <c r="K969" i="1"/>
  <c r="H970" i="1"/>
  <c r="I970" i="1"/>
  <c r="J970" i="1"/>
  <c r="K970" i="1"/>
  <c r="H971" i="1"/>
  <c r="I971" i="1"/>
  <c r="J971" i="1"/>
  <c r="K971" i="1"/>
  <c r="H972" i="1"/>
  <c r="I972" i="1"/>
  <c r="J972" i="1"/>
  <c r="K972" i="1"/>
  <c r="H973" i="1"/>
  <c r="I973" i="1"/>
  <c r="J973" i="1"/>
  <c r="K973" i="1"/>
  <c r="H974" i="1"/>
  <c r="I974" i="1"/>
  <c r="J974" i="1"/>
  <c r="K974" i="1"/>
  <c r="H975" i="1"/>
  <c r="I975" i="1"/>
  <c r="J975" i="1"/>
  <c r="K975" i="1"/>
  <c r="H976" i="1"/>
  <c r="I976" i="1"/>
  <c r="J976" i="1"/>
  <c r="K976" i="1"/>
  <c r="H977" i="1"/>
  <c r="I977" i="1"/>
  <c r="J977" i="1"/>
  <c r="K977" i="1"/>
  <c r="H978" i="1"/>
  <c r="I978" i="1"/>
  <c r="J978" i="1"/>
  <c r="K978" i="1"/>
  <c r="H979" i="1"/>
  <c r="I979" i="1"/>
  <c r="J979" i="1"/>
  <c r="K979" i="1"/>
  <c r="H980" i="1"/>
  <c r="I980" i="1"/>
  <c r="J980" i="1"/>
  <c r="K980" i="1"/>
  <c r="H981" i="1"/>
  <c r="I981" i="1"/>
  <c r="J981" i="1"/>
  <c r="K981" i="1"/>
  <c r="H982" i="1"/>
  <c r="I982" i="1"/>
  <c r="J982" i="1"/>
  <c r="K982" i="1"/>
  <c r="H983" i="1"/>
  <c r="I983" i="1"/>
  <c r="J983" i="1"/>
  <c r="K983" i="1"/>
  <c r="H984" i="1"/>
  <c r="I984" i="1"/>
  <c r="J984" i="1"/>
  <c r="K984" i="1"/>
  <c r="H985" i="1"/>
  <c r="I985" i="1"/>
  <c r="J985" i="1"/>
  <c r="K985" i="1"/>
  <c r="H986" i="1"/>
  <c r="I986" i="1"/>
  <c r="J986" i="1"/>
  <c r="K986" i="1"/>
  <c r="H987" i="1"/>
  <c r="I987" i="1"/>
  <c r="J987" i="1"/>
  <c r="K987" i="1"/>
  <c r="H988" i="1"/>
  <c r="I988" i="1"/>
  <c r="J988" i="1"/>
  <c r="K988" i="1"/>
  <c r="H989" i="1"/>
  <c r="I989" i="1"/>
  <c r="J989" i="1"/>
  <c r="K989" i="1"/>
  <c r="H990" i="1"/>
  <c r="I990" i="1"/>
  <c r="J990" i="1"/>
  <c r="K990" i="1"/>
  <c r="H991" i="1"/>
  <c r="I991" i="1"/>
  <c r="J991" i="1"/>
  <c r="K991" i="1"/>
  <c r="H992" i="1"/>
  <c r="I992" i="1"/>
  <c r="J992" i="1"/>
  <c r="K992" i="1"/>
  <c r="H993" i="1"/>
  <c r="I993" i="1"/>
  <c r="J993" i="1"/>
  <c r="K993" i="1"/>
  <c r="H994" i="1"/>
  <c r="I994" i="1"/>
  <c r="J994" i="1"/>
  <c r="K994" i="1"/>
  <c r="H995" i="1"/>
  <c r="I995" i="1"/>
  <c r="J995" i="1"/>
  <c r="K995" i="1"/>
  <c r="H996" i="1"/>
  <c r="I996" i="1"/>
  <c r="J996" i="1"/>
  <c r="K996" i="1"/>
  <c r="H997" i="1"/>
  <c r="I997" i="1"/>
  <c r="J997" i="1"/>
  <c r="K997" i="1"/>
  <c r="H998" i="1"/>
  <c r="I998" i="1"/>
  <c r="J998" i="1"/>
  <c r="K998" i="1"/>
  <c r="H999" i="1"/>
  <c r="I999" i="1"/>
  <c r="J999" i="1"/>
  <c r="K999" i="1"/>
  <c r="H1000" i="1"/>
  <c r="I1000" i="1"/>
  <c r="J1000" i="1"/>
  <c r="K1000" i="1"/>
  <c r="H1001" i="1"/>
  <c r="I1001" i="1"/>
  <c r="J1001" i="1"/>
  <c r="K1001" i="1"/>
  <c r="H1002" i="1"/>
  <c r="I1002" i="1"/>
  <c r="J1002" i="1"/>
  <c r="K1002" i="1"/>
  <c r="H1003" i="1"/>
  <c r="I1003" i="1"/>
  <c r="J1003" i="1"/>
  <c r="K1003" i="1"/>
  <c r="H1004" i="1"/>
  <c r="I1004" i="1"/>
  <c r="J1004" i="1"/>
  <c r="K1004" i="1"/>
  <c r="H1005" i="1"/>
  <c r="I1005" i="1"/>
  <c r="J1005" i="1"/>
  <c r="K1005" i="1"/>
  <c r="H1006" i="1"/>
  <c r="I1006" i="1"/>
  <c r="J1006" i="1"/>
  <c r="K1006" i="1"/>
  <c r="H1007" i="1"/>
  <c r="I1007" i="1"/>
  <c r="J1007" i="1"/>
  <c r="K1007" i="1"/>
  <c r="H1008" i="1"/>
  <c r="I1008" i="1"/>
  <c r="J1008" i="1"/>
  <c r="K1008" i="1"/>
  <c r="H1009" i="1"/>
  <c r="I1009" i="1"/>
  <c r="J1009" i="1"/>
  <c r="K1009" i="1"/>
  <c r="H1010" i="1"/>
  <c r="I1010" i="1"/>
  <c r="J1010" i="1"/>
  <c r="K1010" i="1"/>
  <c r="H1011" i="1"/>
  <c r="I1011" i="1"/>
  <c r="J1011" i="1"/>
  <c r="K1011" i="1"/>
  <c r="H1012" i="1"/>
  <c r="I1012" i="1"/>
  <c r="J1012" i="1"/>
  <c r="K1012" i="1"/>
  <c r="H1013" i="1"/>
  <c r="I1013" i="1"/>
  <c r="J1013" i="1"/>
  <c r="K1013" i="1"/>
  <c r="H1014" i="1"/>
  <c r="I1014" i="1"/>
  <c r="J1014" i="1"/>
  <c r="K1014" i="1"/>
  <c r="H1015" i="1"/>
  <c r="I1015" i="1"/>
  <c r="J1015" i="1"/>
  <c r="K1015" i="1"/>
  <c r="H1016" i="1"/>
  <c r="I1016" i="1"/>
  <c r="J1016" i="1"/>
  <c r="K1016" i="1"/>
  <c r="H1017" i="1"/>
  <c r="I1017" i="1"/>
  <c r="J1017" i="1"/>
  <c r="K1017" i="1"/>
  <c r="H1018" i="1"/>
  <c r="I1018" i="1"/>
  <c r="J1018" i="1"/>
  <c r="K1018" i="1"/>
  <c r="H1019" i="1"/>
  <c r="I1019" i="1"/>
  <c r="J1019" i="1"/>
  <c r="K1019" i="1"/>
  <c r="H1020" i="1"/>
  <c r="I1020" i="1"/>
  <c r="J1020" i="1"/>
  <c r="K1020" i="1"/>
  <c r="H1021" i="1"/>
  <c r="I1021" i="1"/>
  <c r="J1021" i="1"/>
  <c r="K1021" i="1"/>
  <c r="H1022" i="1"/>
  <c r="I1022" i="1"/>
  <c r="J1022" i="1"/>
  <c r="K1022" i="1"/>
  <c r="H1023" i="1"/>
  <c r="I1023" i="1"/>
  <c r="J1023" i="1"/>
  <c r="K1023" i="1"/>
  <c r="H1024" i="1"/>
  <c r="I1024" i="1"/>
  <c r="J1024" i="1"/>
  <c r="K1024" i="1"/>
  <c r="H1025" i="1"/>
  <c r="I1025" i="1"/>
  <c r="J1025" i="1"/>
  <c r="K1025" i="1"/>
  <c r="H1026" i="1"/>
  <c r="I1026" i="1"/>
  <c r="J1026" i="1"/>
  <c r="K1026" i="1"/>
  <c r="H1027" i="1"/>
  <c r="I1027" i="1"/>
  <c r="J1027" i="1"/>
  <c r="K1027" i="1"/>
  <c r="H1028" i="1"/>
  <c r="I1028" i="1"/>
  <c r="J1028" i="1"/>
  <c r="K1028" i="1"/>
  <c r="H1029" i="1"/>
  <c r="I1029" i="1"/>
  <c r="J1029" i="1"/>
  <c r="K1029" i="1"/>
  <c r="H1030" i="1"/>
  <c r="I1030" i="1"/>
  <c r="J1030" i="1"/>
  <c r="K1030" i="1"/>
  <c r="H1031" i="1"/>
  <c r="I1031" i="1"/>
  <c r="J1031" i="1"/>
  <c r="K1031" i="1"/>
  <c r="H1032" i="1"/>
  <c r="I1032" i="1"/>
  <c r="J1032" i="1"/>
  <c r="K1032" i="1"/>
  <c r="H1033" i="1"/>
  <c r="I1033" i="1"/>
  <c r="J1033" i="1"/>
  <c r="K1033" i="1"/>
  <c r="H1034" i="1"/>
  <c r="I1034" i="1"/>
  <c r="J1034" i="1"/>
  <c r="K1034" i="1"/>
  <c r="H1035" i="1"/>
  <c r="I1035" i="1"/>
  <c r="J1035" i="1"/>
  <c r="K1035" i="1"/>
  <c r="H1036" i="1"/>
  <c r="I1036" i="1"/>
  <c r="J1036" i="1"/>
  <c r="K1036" i="1"/>
  <c r="H1037" i="1"/>
  <c r="I1037" i="1"/>
  <c r="J1037" i="1"/>
  <c r="K1037" i="1"/>
  <c r="H1038" i="1"/>
  <c r="I1038" i="1"/>
  <c r="J1038" i="1"/>
  <c r="K1038" i="1"/>
  <c r="H1039" i="1"/>
  <c r="I1039" i="1"/>
  <c r="J1039" i="1"/>
  <c r="K1039" i="1"/>
  <c r="H1040" i="1"/>
  <c r="I1040" i="1"/>
  <c r="J1040" i="1"/>
  <c r="K1040" i="1"/>
  <c r="H1041" i="1"/>
  <c r="I1041" i="1"/>
  <c r="J1041" i="1"/>
  <c r="K1041" i="1"/>
  <c r="H1042" i="1"/>
  <c r="I1042" i="1"/>
  <c r="J1042" i="1"/>
  <c r="K1042" i="1"/>
  <c r="H1043" i="1"/>
  <c r="I1043" i="1"/>
  <c r="J1043" i="1"/>
  <c r="K1043" i="1"/>
  <c r="H1044" i="1"/>
  <c r="I1044" i="1"/>
  <c r="J1044" i="1"/>
  <c r="K1044" i="1"/>
  <c r="H1045" i="1"/>
  <c r="I1045" i="1"/>
  <c r="J1045" i="1"/>
  <c r="K1045" i="1"/>
  <c r="H1046" i="1"/>
  <c r="I1046" i="1"/>
  <c r="J1046" i="1"/>
  <c r="K1046" i="1"/>
  <c r="H1047" i="1"/>
  <c r="I1047" i="1"/>
  <c r="J1047" i="1"/>
  <c r="K1047" i="1"/>
  <c r="H1048" i="1"/>
  <c r="I1048" i="1"/>
  <c r="J1048" i="1"/>
  <c r="K1048" i="1"/>
  <c r="H1049" i="1"/>
  <c r="I1049" i="1"/>
  <c r="J1049" i="1"/>
  <c r="K1049" i="1"/>
  <c r="H1050" i="1"/>
  <c r="I1050" i="1"/>
  <c r="J1050" i="1"/>
  <c r="K1050" i="1"/>
  <c r="H1051" i="1"/>
  <c r="I1051" i="1"/>
  <c r="J1051" i="1"/>
  <c r="K1051" i="1"/>
  <c r="H1052" i="1"/>
  <c r="I1052" i="1"/>
  <c r="J1052" i="1"/>
  <c r="K1052" i="1"/>
  <c r="H1053" i="1"/>
  <c r="I1053" i="1"/>
  <c r="J1053" i="1"/>
  <c r="K1053" i="1"/>
  <c r="H1054" i="1"/>
  <c r="I1054" i="1"/>
  <c r="J1054" i="1"/>
  <c r="K1054" i="1"/>
  <c r="H1055" i="1"/>
  <c r="I1055" i="1"/>
  <c r="J1055" i="1"/>
  <c r="K1055" i="1"/>
  <c r="H1056" i="1"/>
  <c r="I1056" i="1"/>
  <c r="J1056" i="1"/>
  <c r="K1056" i="1"/>
  <c r="H1057" i="1"/>
  <c r="I1057" i="1"/>
  <c r="J1057" i="1"/>
  <c r="K1057" i="1"/>
  <c r="H1058" i="1"/>
  <c r="I1058" i="1"/>
  <c r="J1058" i="1"/>
  <c r="K1058" i="1"/>
  <c r="H1059" i="1"/>
  <c r="I1059" i="1"/>
  <c r="J1059" i="1"/>
  <c r="K1059" i="1"/>
  <c r="H1060" i="1"/>
  <c r="I1060" i="1"/>
  <c r="J1060" i="1"/>
  <c r="K1060" i="1"/>
  <c r="H1061" i="1"/>
  <c r="I1061" i="1"/>
  <c r="J1061" i="1"/>
  <c r="K1061" i="1"/>
  <c r="H1062" i="1"/>
  <c r="I1062" i="1"/>
  <c r="J1062" i="1"/>
  <c r="K1062" i="1"/>
  <c r="H1063" i="1"/>
  <c r="I1063" i="1"/>
  <c r="J1063" i="1"/>
  <c r="K1063" i="1"/>
  <c r="H1064" i="1"/>
  <c r="I1064" i="1"/>
  <c r="J1064" i="1"/>
  <c r="K1064" i="1"/>
  <c r="H1065" i="1"/>
  <c r="I1065" i="1"/>
  <c r="J1065" i="1"/>
  <c r="K1065" i="1"/>
  <c r="H1066" i="1"/>
  <c r="I1066" i="1"/>
  <c r="J1066" i="1"/>
  <c r="K1066" i="1"/>
  <c r="H1067" i="1"/>
  <c r="I1067" i="1"/>
  <c r="J1067" i="1"/>
  <c r="K1067" i="1"/>
  <c r="H1068" i="1"/>
  <c r="I1068" i="1"/>
  <c r="J1068" i="1"/>
  <c r="K1068" i="1"/>
  <c r="H1069" i="1"/>
  <c r="I1069" i="1"/>
  <c r="J1069" i="1"/>
  <c r="K1069" i="1"/>
  <c r="H1070" i="1"/>
  <c r="I1070" i="1"/>
  <c r="J1070" i="1"/>
  <c r="K1070" i="1"/>
  <c r="H1071" i="1"/>
  <c r="I1071" i="1"/>
  <c r="J1071" i="1"/>
  <c r="K1071" i="1"/>
  <c r="H1072" i="1"/>
  <c r="I1072" i="1"/>
  <c r="J1072" i="1"/>
  <c r="K1072" i="1"/>
  <c r="H1073" i="1"/>
  <c r="I1073" i="1"/>
  <c r="J1073" i="1"/>
  <c r="K1073" i="1"/>
  <c r="H1074" i="1"/>
  <c r="I1074" i="1"/>
  <c r="J1074" i="1"/>
  <c r="K1074" i="1"/>
  <c r="H1075" i="1"/>
  <c r="I1075" i="1"/>
  <c r="J1075" i="1"/>
  <c r="K1075" i="1"/>
  <c r="H1076" i="1"/>
  <c r="I1076" i="1"/>
  <c r="J1076" i="1"/>
  <c r="K1076" i="1"/>
  <c r="H1077" i="1"/>
  <c r="I1077" i="1"/>
  <c r="J1077" i="1"/>
  <c r="K1077" i="1"/>
  <c r="H1078" i="1"/>
  <c r="I1078" i="1"/>
  <c r="J1078" i="1"/>
  <c r="K1078" i="1"/>
  <c r="H1079" i="1"/>
  <c r="I1079" i="1"/>
  <c r="J1079" i="1"/>
  <c r="K1079" i="1"/>
  <c r="H1080" i="1"/>
  <c r="I1080" i="1"/>
  <c r="J1080" i="1"/>
  <c r="K1080" i="1"/>
  <c r="H1081" i="1"/>
  <c r="I1081" i="1"/>
  <c r="J1081" i="1"/>
  <c r="K1081" i="1"/>
  <c r="H1082" i="1"/>
  <c r="I1082" i="1"/>
  <c r="J1082" i="1"/>
  <c r="K1082" i="1"/>
  <c r="H1083" i="1"/>
  <c r="I1083" i="1"/>
  <c r="J1083" i="1"/>
  <c r="K1083" i="1"/>
  <c r="H1084" i="1"/>
  <c r="I1084" i="1"/>
  <c r="J1084" i="1"/>
  <c r="K1084" i="1"/>
  <c r="H1085" i="1"/>
  <c r="I1085" i="1"/>
  <c r="J1085" i="1"/>
  <c r="K1085" i="1"/>
  <c r="H1086" i="1"/>
  <c r="I1086" i="1"/>
  <c r="J1086" i="1"/>
  <c r="K1086" i="1"/>
  <c r="H1087" i="1"/>
  <c r="I1087" i="1"/>
  <c r="J1087" i="1"/>
  <c r="K1087" i="1"/>
  <c r="H1088" i="1"/>
  <c r="I1088" i="1"/>
  <c r="J1088" i="1"/>
  <c r="K1088" i="1"/>
  <c r="H1089" i="1"/>
  <c r="I1089" i="1"/>
  <c r="J1089" i="1"/>
  <c r="K1089" i="1"/>
  <c r="H1090" i="1"/>
  <c r="I1090" i="1"/>
  <c r="J1090" i="1"/>
  <c r="K1090" i="1"/>
  <c r="H1091" i="1"/>
  <c r="I1091" i="1"/>
  <c r="J1091" i="1"/>
  <c r="K1091" i="1"/>
  <c r="H1092" i="1"/>
  <c r="I1092" i="1"/>
  <c r="J1092" i="1"/>
  <c r="K1092" i="1"/>
  <c r="H1093" i="1"/>
  <c r="I1093" i="1"/>
  <c r="J1093" i="1"/>
  <c r="K1093" i="1"/>
  <c r="H1094" i="1"/>
  <c r="I1094" i="1"/>
  <c r="J1094" i="1"/>
  <c r="K1094" i="1"/>
  <c r="H1095" i="1"/>
  <c r="I1095" i="1"/>
  <c r="J1095" i="1"/>
  <c r="K1095" i="1"/>
  <c r="H1096" i="1"/>
  <c r="I1096" i="1"/>
  <c r="J1096" i="1"/>
  <c r="K1096" i="1"/>
  <c r="H1097" i="1"/>
  <c r="I1097" i="1"/>
  <c r="J1097" i="1"/>
  <c r="K1097" i="1"/>
  <c r="H1098" i="1"/>
  <c r="I1098" i="1"/>
  <c r="J1098" i="1"/>
  <c r="K1098" i="1"/>
  <c r="H1099" i="1"/>
  <c r="I1099" i="1"/>
  <c r="J1099" i="1"/>
  <c r="K1099" i="1"/>
  <c r="H1100" i="1"/>
  <c r="I1100" i="1"/>
  <c r="J1100" i="1"/>
  <c r="K1100" i="1"/>
  <c r="H1101" i="1"/>
  <c r="I1101" i="1"/>
  <c r="J1101" i="1"/>
  <c r="K1101" i="1"/>
  <c r="H1102" i="1"/>
  <c r="I1102" i="1"/>
  <c r="J1102" i="1"/>
  <c r="K1102" i="1"/>
  <c r="H1103" i="1"/>
  <c r="I1103" i="1"/>
  <c r="J1103" i="1"/>
  <c r="K1103" i="1"/>
  <c r="H1104" i="1"/>
  <c r="I1104" i="1"/>
  <c r="J1104" i="1"/>
  <c r="K1104" i="1"/>
  <c r="H1105" i="1"/>
  <c r="I1105" i="1"/>
  <c r="J1105" i="1"/>
  <c r="K1105" i="1"/>
  <c r="H1106" i="1"/>
  <c r="I1106" i="1"/>
  <c r="J1106" i="1"/>
  <c r="K1106" i="1"/>
  <c r="H1107" i="1"/>
  <c r="I1107" i="1"/>
  <c r="J1107" i="1"/>
  <c r="K1107" i="1"/>
  <c r="H1108" i="1"/>
  <c r="I1108" i="1"/>
  <c r="J1108" i="1"/>
  <c r="K1108" i="1"/>
  <c r="H1109" i="1"/>
  <c r="I1109" i="1"/>
  <c r="J1109" i="1"/>
  <c r="K1109" i="1"/>
  <c r="H1110" i="1"/>
  <c r="I1110" i="1"/>
  <c r="J1110" i="1"/>
  <c r="K1110" i="1"/>
  <c r="H1111" i="1"/>
  <c r="I1111" i="1"/>
  <c r="J1111" i="1"/>
  <c r="K1111" i="1"/>
  <c r="H1112" i="1"/>
  <c r="I1112" i="1"/>
  <c r="J1112" i="1"/>
  <c r="K1112" i="1"/>
  <c r="H1113" i="1"/>
  <c r="I1113" i="1"/>
  <c r="J1113" i="1"/>
  <c r="K1113" i="1"/>
  <c r="H1114" i="1"/>
  <c r="I1114" i="1"/>
  <c r="J1114" i="1"/>
  <c r="K1114" i="1"/>
  <c r="H1115" i="1"/>
  <c r="I1115" i="1"/>
  <c r="J1115" i="1"/>
  <c r="K1115" i="1"/>
  <c r="H1116" i="1"/>
  <c r="I1116" i="1"/>
  <c r="J1116" i="1"/>
  <c r="K1116" i="1"/>
  <c r="H1117" i="1"/>
  <c r="I1117" i="1"/>
  <c r="J1117" i="1"/>
  <c r="K1117" i="1"/>
  <c r="H1118" i="1"/>
  <c r="I1118" i="1"/>
  <c r="J1118" i="1"/>
  <c r="K1118" i="1"/>
  <c r="H1119" i="1"/>
  <c r="I1119" i="1"/>
  <c r="J1119" i="1"/>
  <c r="K1119" i="1"/>
  <c r="H1120" i="1"/>
  <c r="I1120" i="1"/>
  <c r="J1120" i="1"/>
  <c r="K1120" i="1"/>
  <c r="H1121" i="1"/>
  <c r="I1121" i="1"/>
  <c r="J1121" i="1"/>
  <c r="K1121" i="1"/>
  <c r="H1122" i="1"/>
  <c r="I1122" i="1"/>
  <c r="J1122" i="1"/>
  <c r="K1122" i="1"/>
  <c r="H1123" i="1"/>
  <c r="I1123" i="1"/>
  <c r="J1123" i="1"/>
  <c r="K1123" i="1"/>
  <c r="H1124" i="1"/>
  <c r="I1124" i="1"/>
  <c r="J1124" i="1"/>
  <c r="K1124" i="1"/>
  <c r="H1125" i="1"/>
  <c r="I1125" i="1"/>
  <c r="J1125" i="1"/>
  <c r="K1125" i="1"/>
  <c r="H1126" i="1"/>
  <c r="I1126" i="1"/>
  <c r="J1126" i="1"/>
  <c r="K1126" i="1"/>
  <c r="H1127" i="1"/>
  <c r="I1127" i="1"/>
  <c r="J1127" i="1"/>
  <c r="K1127" i="1"/>
  <c r="H1128" i="1"/>
  <c r="I1128" i="1"/>
  <c r="J1128" i="1"/>
  <c r="K1128" i="1"/>
  <c r="H1129" i="1"/>
  <c r="I1129" i="1"/>
  <c r="J1129" i="1"/>
  <c r="K1129" i="1"/>
  <c r="H1130" i="1"/>
  <c r="I1130" i="1"/>
  <c r="J1130" i="1"/>
  <c r="K1130" i="1"/>
  <c r="H1131" i="1"/>
  <c r="I1131" i="1"/>
  <c r="J1131" i="1"/>
  <c r="K1131" i="1"/>
  <c r="H1132" i="1"/>
  <c r="I1132" i="1"/>
  <c r="J1132" i="1"/>
  <c r="K1132" i="1"/>
  <c r="H1133" i="1"/>
  <c r="I1133" i="1"/>
  <c r="J1133" i="1"/>
  <c r="K1133" i="1"/>
  <c r="H1134" i="1"/>
  <c r="I1134" i="1"/>
  <c r="J1134" i="1"/>
  <c r="K1134" i="1"/>
  <c r="H1135" i="1"/>
  <c r="I1135" i="1"/>
  <c r="J1135" i="1"/>
  <c r="K1135" i="1"/>
  <c r="H1136" i="1"/>
  <c r="I1136" i="1"/>
  <c r="J1136" i="1"/>
  <c r="K1136" i="1"/>
  <c r="H1137" i="1"/>
  <c r="I1137" i="1"/>
  <c r="J1137" i="1"/>
  <c r="K1137" i="1"/>
  <c r="H1138" i="1"/>
  <c r="I1138" i="1"/>
  <c r="J1138" i="1"/>
  <c r="K1138" i="1"/>
  <c r="H1139" i="1"/>
  <c r="I1139" i="1"/>
  <c r="J1139" i="1"/>
  <c r="K1139" i="1"/>
  <c r="H1140" i="1"/>
  <c r="I1140" i="1"/>
  <c r="J1140" i="1"/>
  <c r="K1140" i="1"/>
  <c r="H1141" i="1"/>
  <c r="I1141" i="1"/>
  <c r="J1141" i="1"/>
  <c r="K1141" i="1"/>
  <c r="H1142" i="1"/>
  <c r="I1142" i="1"/>
  <c r="J1142" i="1"/>
  <c r="K1142" i="1"/>
  <c r="H1143" i="1"/>
  <c r="I1143" i="1"/>
  <c r="J1143" i="1"/>
  <c r="K1143" i="1"/>
  <c r="H1144" i="1"/>
  <c r="I1144" i="1"/>
  <c r="J1144" i="1"/>
  <c r="K1144" i="1"/>
  <c r="H1145" i="1"/>
  <c r="I1145" i="1"/>
  <c r="J1145" i="1"/>
  <c r="K1145" i="1"/>
  <c r="H1146" i="1"/>
  <c r="I1146" i="1"/>
  <c r="J1146" i="1"/>
  <c r="K1146" i="1"/>
  <c r="H1147" i="1"/>
  <c r="I1147" i="1"/>
  <c r="J1147" i="1"/>
  <c r="K1147" i="1"/>
  <c r="H1148" i="1"/>
  <c r="I1148" i="1"/>
  <c r="J1148" i="1"/>
  <c r="K1148" i="1"/>
  <c r="H1149" i="1"/>
  <c r="I1149" i="1"/>
  <c r="J1149" i="1"/>
  <c r="K1149" i="1"/>
  <c r="H1150" i="1"/>
  <c r="I1150" i="1"/>
  <c r="J1150" i="1"/>
  <c r="K1150" i="1"/>
  <c r="H1151" i="1"/>
  <c r="I1151" i="1"/>
  <c r="J1151" i="1"/>
  <c r="K1151" i="1"/>
  <c r="H1152" i="1"/>
  <c r="I1152" i="1"/>
  <c r="J1152" i="1"/>
  <c r="K1152" i="1"/>
  <c r="H1153" i="1"/>
  <c r="I1153" i="1"/>
  <c r="J1153" i="1"/>
  <c r="K1153" i="1"/>
  <c r="H1154" i="1"/>
  <c r="I1154" i="1"/>
  <c r="J1154" i="1"/>
  <c r="K1154" i="1"/>
  <c r="H1155" i="1"/>
  <c r="I1155" i="1"/>
  <c r="J1155" i="1"/>
  <c r="K1155" i="1"/>
  <c r="H1156" i="1"/>
  <c r="I1156" i="1"/>
  <c r="J1156" i="1"/>
  <c r="K1156" i="1"/>
  <c r="H1157" i="1"/>
  <c r="I1157" i="1"/>
  <c r="J1157" i="1"/>
  <c r="K1157" i="1"/>
  <c r="H1158" i="1"/>
  <c r="I1158" i="1"/>
  <c r="J1158" i="1"/>
  <c r="K1158" i="1"/>
  <c r="H1159" i="1"/>
  <c r="I1159" i="1"/>
  <c r="J1159" i="1"/>
  <c r="K1159" i="1"/>
  <c r="H1160" i="1"/>
  <c r="I1160" i="1"/>
  <c r="J1160" i="1"/>
  <c r="K1160" i="1"/>
  <c r="H1161" i="1"/>
  <c r="I1161" i="1"/>
  <c r="J1161" i="1"/>
  <c r="K1161" i="1"/>
  <c r="H1162" i="1"/>
  <c r="I1162" i="1"/>
  <c r="J1162" i="1"/>
  <c r="K1162" i="1"/>
  <c r="H1163" i="1"/>
  <c r="I1163" i="1"/>
  <c r="J1163" i="1"/>
  <c r="K1163" i="1"/>
  <c r="H1164" i="1"/>
  <c r="I1164" i="1"/>
  <c r="J1164" i="1"/>
  <c r="K1164" i="1"/>
  <c r="H1165" i="1"/>
  <c r="I1165" i="1"/>
  <c r="J1165" i="1"/>
  <c r="K1165" i="1"/>
  <c r="H1166" i="1"/>
  <c r="I1166" i="1"/>
  <c r="J1166" i="1"/>
  <c r="K1166" i="1"/>
  <c r="H1167" i="1"/>
  <c r="I1167" i="1"/>
  <c r="J1167" i="1"/>
  <c r="K1167" i="1"/>
  <c r="H1168" i="1"/>
  <c r="I1168" i="1"/>
  <c r="J1168" i="1"/>
  <c r="K1168" i="1"/>
  <c r="H1169" i="1"/>
  <c r="I1169" i="1"/>
  <c r="J1169" i="1"/>
  <c r="K1169" i="1"/>
  <c r="H1170" i="1"/>
  <c r="I1170" i="1"/>
  <c r="J1170" i="1"/>
  <c r="K1170" i="1"/>
  <c r="H1171" i="1"/>
  <c r="I1171" i="1"/>
  <c r="J1171" i="1"/>
  <c r="K1171" i="1"/>
  <c r="H1172" i="1"/>
  <c r="I1172" i="1"/>
  <c r="J1172" i="1"/>
  <c r="K1172" i="1"/>
  <c r="H1173" i="1"/>
  <c r="I1173" i="1"/>
  <c r="J1173" i="1"/>
  <c r="K1173" i="1"/>
  <c r="H1174" i="1"/>
  <c r="I1174" i="1"/>
  <c r="J1174" i="1"/>
  <c r="K1174" i="1"/>
  <c r="H1175" i="1"/>
  <c r="I1175" i="1"/>
  <c r="J1175" i="1"/>
  <c r="K1175" i="1"/>
  <c r="H1176" i="1"/>
  <c r="I1176" i="1"/>
  <c r="J1176" i="1"/>
  <c r="K1176" i="1"/>
  <c r="H1177" i="1"/>
  <c r="I1177" i="1"/>
  <c r="J1177" i="1"/>
  <c r="K1177" i="1"/>
  <c r="H1178" i="1"/>
  <c r="I1178" i="1"/>
  <c r="J1178" i="1"/>
  <c r="K1178" i="1"/>
  <c r="H1179" i="1"/>
  <c r="I1179" i="1"/>
  <c r="J1179" i="1"/>
  <c r="K1179" i="1"/>
  <c r="H1180" i="1"/>
  <c r="I1180" i="1"/>
  <c r="J1180" i="1"/>
  <c r="K1180" i="1"/>
  <c r="H1181" i="1"/>
  <c r="I1181" i="1"/>
  <c r="J1181" i="1"/>
  <c r="K1181" i="1"/>
  <c r="H1182" i="1"/>
  <c r="I1182" i="1"/>
  <c r="J1182" i="1"/>
  <c r="K1182" i="1"/>
  <c r="H1183" i="1"/>
  <c r="I1183" i="1"/>
  <c r="J1183" i="1"/>
  <c r="K1183" i="1"/>
  <c r="H1184" i="1"/>
  <c r="I1184" i="1"/>
  <c r="J1184" i="1"/>
  <c r="K1184" i="1"/>
  <c r="H1185" i="1"/>
  <c r="I1185" i="1"/>
  <c r="J1185" i="1"/>
  <c r="K1185" i="1"/>
  <c r="H1186" i="1"/>
  <c r="I1186" i="1"/>
  <c r="J1186" i="1"/>
  <c r="K1186" i="1"/>
  <c r="H1187" i="1"/>
  <c r="I1187" i="1"/>
  <c r="J1187" i="1"/>
  <c r="K1187" i="1"/>
  <c r="H1188" i="1"/>
  <c r="I1188" i="1"/>
  <c r="J1188" i="1"/>
  <c r="K1188" i="1"/>
  <c r="H1189" i="1"/>
  <c r="I1189" i="1"/>
  <c r="J1189" i="1"/>
  <c r="K1189" i="1"/>
  <c r="H1190" i="1"/>
  <c r="I1190" i="1"/>
  <c r="J1190" i="1"/>
  <c r="K1190" i="1"/>
  <c r="H1191" i="1"/>
  <c r="I1191" i="1"/>
  <c r="J1191" i="1"/>
  <c r="K1191" i="1"/>
  <c r="H1192" i="1"/>
  <c r="I1192" i="1"/>
  <c r="J1192" i="1"/>
  <c r="K1192" i="1"/>
  <c r="H1193" i="1"/>
  <c r="I1193" i="1"/>
  <c r="J1193" i="1"/>
  <c r="K1193" i="1"/>
  <c r="H1194" i="1"/>
  <c r="I1194" i="1"/>
  <c r="J1194" i="1"/>
  <c r="K1194" i="1"/>
  <c r="H1195" i="1"/>
  <c r="I1195" i="1"/>
  <c r="J1195" i="1"/>
  <c r="K1195" i="1"/>
  <c r="H1196" i="1"/>
  <c r="I1196" i="1"/>
  <c r="J1196" i="1"/>
  <c r="K1196" i="1"/>
  <c r="H1197" i="1"/>
  <c r="I1197" i="1"/>
  <c r="J1197" i="1"/>
  <c r="K1197" i="1"/>
  <c r="H1198" i="1"/>
  <c r="I1198" i="1"/>
  <c r="J1198" i="1"/>
  <c r="K1198" i="1"/>
  <c r="H1199" i="1"/>
  <c r="I1199" i="1"/>
  <c r="J1199" i="1"/>
  <c r="K1199" i="1"/>
  <c r="H1200" i="1"/>
  <c r="I1200" i="1"/>
  <c r="J1200" i="1"/>
  <c r="K1200" i="1"/>
  <c r="H1201" i="1"/>
  <c r="I1201" i="1"/>
  <c r="J1201" i="1"/>
  <c r="K1201" i="1"/>
  <c r="H1202" i="1"/>
  <c r="I1202" i="1"/>
  <c r="J1202" i="1"/>
  <c r="K1202" i="1"/>
  <c r="H1203" i="1"/>
  <c r="I1203" i="1"/>
  <c r="J1203" i="1"/>
  <c r="K1203" i="1"/>
  <c r="H1204" i="1"/>
  <c r="I1204" i="1"/>
  <c r="J1204" i="1"/>
  <c r="K1204" i="1"/>
  <c r="H1205" i="1"/>
  <c r="I1205" i="1"/>
  <c r="J1205" i="1"/>
  <c r="K1205" i="1"/>
  <c r="H1206" i="1"/>
  <c r="I1206" i="1"/>
  <c r="J1206" i="1"/>
  <c r="K1206" i="1"/>
  <c r="H1207" i="1"/>
  <c r="I1207" i="1"/>
  <c r="J1207" i="1"/>
  <c r="K1207" i="1"/>
  <c r="H1208" i="1"/>
  <c r="I1208" i="1"/>
  <c r="J1208" i="1"/>
  <c r="K1208" i="1"/>
  <c r="H1209" i="1"/>
  <c r="I1209" i="1"/>
  <c r="J1209" i="1"/>
  <c r="K1209" i="1"/>
  <c r="H1210" i="1"/>
  <c r="I1210" i="1"/>
  <c r="J1210" i="1"/>
  <c r="K1210" i="1"/>
  <c r="H1211" i="1"/>
  <c r="I1211" i="1"/>
  <c r="J1211" i="1"/>
  <c r="K1211" i="1"/>
  <c r="H1212" i="1"/>
  <c r="I1212" i="1"/>
  <c r="J1212" i="1"/>
  <c r="K1212" i="1"/>
  <c r="H1213" i="1"/>
  <c r="I1213" i="1"/>
  <c r="J1213" i="1"/>
  <c r="K1213" i="1"/>
  <c r="H1214" i="1"/>
  <c r="I1214" i="1"/>
  <c r="J1214" i="1"/>
  <c r="K1214" i="1"/>
  <c r="H1215" i="1"/>
  <c r="I1215" i="1"/>
  <c r="J1215" i="1"/>
  <c r="K1215" i="1"/>
  <c r="H1216" i="1"/>
  <c r="I1216" i="1"/>
  <c r="J1216" i="1"/>
  <c r="K1216" i="1"/>
  <c r="H1217" i="1"/>
  <c r="I1217" i="1"/>
  <c r="J1217" i="1"/>
  <c r="K1217" i="1"/>
  <c r="H1218" i="1"/>
  <c r="I1218" i="1"/>
  <c r="J1218" i="1"/>
  <c r="K1218" i="1"/>
  <c r="H1219" i="1"/>
  <c r="I1219" i="1"/>
  <c r="J1219" i="1"/>
  <c r="K1219" i="1"/>
  <c r="H1220" i="1"/>
  <c r="I1220" i="1"/>
  <c r="J1220" i="1"/>
  <c r="K1220" i="1"/>
  <c r="H1221" i="1"/>
  <c r="I1221" i="1"/>
  <c r="J1221" i="1"/>
  <c r="K1221" i="1"/>
  <c r="H1222" i="1"/>
  <c r="I1222" i="1"/>
  <c r="J1222" i="1"/>
  <c r="K1222" i="1"/>
  <c r="H1223" i="1"/>
  <c r="I1223" i="1"/>
  <c r="J1223" i="1"/>
  <c r="K1223" i="1"/>
  <c r="H1224" i="1"/>
  <c r="I1224" i="1"/>
  <c r="J1224" i="1"/>
  <c r="K1224" i="1"/>
  <c r="H1225" i="1"/>
  <c r="I1225" i="1"/>
  <c r="J1225" i="1"/>
  <c r="K1225" i="1"/>
  <c r="H1226" i="1"/>
  <c r="I1226" i="1"/>
  <c r="J1226" i="1"/>
  <c r="K1226" i="1"/>
  <c r="H1227" i="1"/>
  <c r="I1227" i="1"/>
  <c r="J1227" i="1"/>
  <c r="K1227" i="1"/>
  <c r="H1228" i="1"/>
  <c r="I1228" i="1"/>
  <c r="J1228" i="1"/>
  <c r="K1228" i="1"/>
  <c r="H1229" i="1"/>
  <c r="I1229" i="1"/>
  <c r="J1229" i="1"/>
  <c r="K1229" i="1"/>
  <c r="H1230" i="1"/>
  <c r="I1230" i="1"/>
  <c r="J1230" i="1"/>
  <c r="K1230" i="1"/>
  <c r="H1231" i="1"/>
  <c r="I1231" i="1"/>
  <c r="J1231" i="1"/>
  <c r="K1231" i="1"/>
  <c r="H1232" i="1"/>
  <c r="I1232" i="1"/>
  <c r="J1232" i="1"/>
  <c r="K1232" i="1"/>
  <c r="H1233" i="1"/>
  <c r="I1233" i="1"/>
  <c r="J1233" i="1"/>
  <c r="K1233" i="1"/>
  <c r="H1234" i="1"/>
  <c r="I1234" i="1"/>
  <c r="J1234" i="1"/>
  <c r="K1234" i="1"/>
  <c r="H1235" i="1"/>
  <c r="I1235" i="1"/>
  <c r="J1235" i="1"/>
  <c r="K1235" i="1"/>
  <c r="H1236" i="1"/>
  <c r="I1236" i="1"/>
  <c r="J1236" i="1"/>
  <c r="K1236" i="1"/>
  <c r="H1237" i="1"/>
  <c r="I1237" i="1"/>
  <c r="J1237" i="1"/>
  <c r="K1237" i="1"/>
  <c r="H1238" i="1"/>
  <c r="I1238" i="1"/>
  <c r="J1238" i="1"/>
  <c r="K1238" i="1"/>
  <c r="H1239" i="1"/>
  <c r="I1239" i="1"/>
  <c r="J1239" i="1"/>
  <c r="K1239" i="1"/>
  <c r="H1240" i="1"/>
  <c r="I1240" i="1"/>
  <c r="J1240" i="1"/>
  <c r="K1240" i="1"/>
  <c r="H1241" i="1"/>
  <c r="I1241" i="1"/>
  <c r="J1241" i="1"/>
  <c r="K1241" i="1"/>
  <c r="H1242" i="1"/>
  <c r="I1242" i="1"/>
  <c r="J1242" i="1"/>
  <c r="K1242" i="1"/>
  <c r="H1243" i="1"/>
  <c r="I1243" i="1"/>
  <c r="J1243" i="1"/>
  <c r="K1243" i="1"/>
  <c r="H1244" i="1"/>
  <c r="I1244" i="1"/>
  <c r="J1244" i="1"/>
  <c r="K1244" i="1"/>
  <c r="H1245" i="1"/>
  <c r="I1245" i="1"/>
  <c r="J1245" i="1"/>
  <c r="K1245" i="1"/>
  <c r="H1246" i="1"/>
  <c r="I1246" i="1"/>
  <c r="J1246" i="1"/>
  <c r="K1246" i="1"/>
  <c r="H1247" i="1"/>
  <c r="I1247" i="1"/>
  <c r="J1247" i="1"/>
  <c r="K1247" i="1"/>
  <c r="H1248" i="1"/>
  <c r="I1248" i="1"/>
  <c r="J1248" i="1"/>
  <c r="K1248" i="1"/>
  <c r="H1249" i="1"/>
  <c r="I1249" i="1"/>
  <c r="J1249" i="1"/>
  <c r="K1249" i="1"/>
  <c r="H1250" i="1"/>
  <c r="I1250" i="1"/>
  <c r="J1250" i="1"/>
  <c r="K1250" i="1"/>
  <c r="H1251" i="1"/>
  <c r="I1251" i="1"/>
  <c r="J1251" i="1"/>
  <c r="K1251" i="1"/>
  <c r="H1252" i="1"/>
  <c r="I1252" i="1"/>
  <c r="J1252" i="1"/>
  <c r="K1252" i="1"/>
  <c r="H1253" i="1"/>
  <c r="I1253" i="1"/>
  <c r="J1253" i="1"/>
  <c r="K1253" i="1"/>
  <c r="H1254" i="1"/>
  <c r="I1254" i="1"/>
  <c r="J1254" i="1"/>
  <c r="K1254" i="1"/>
  <c r="H1255" i="1"/>
  <c r="I1255" i="1"/>
  <c r="J1255" i="1"/>
  <c r="K1255" i="1"/>
  <c r="H1256" i="1"/>
  <c r="I1256" i="1"/>
  <c r="J1256" i="1"/>
  <c r="K1256" i="1"/>
  <c r="H1257" i="1"/>
  <c r="I1257" i="1"/>
  <c r="J1257" i="1"/>
  <c r="K1257" i="1"/>
  <c r="H1258" i="1"/>
  <c r="I1258" i="1"/>
  <c r="J1258" i="1"/>
  <c r="K1258" i="1"/>
  <c r="H1259" i="1"/>
  <c r="I1259" i="1"/>
  <c r="J1259" i="1"/>
  <c r="K1259" i="1"/>
  <c r="H1260" i="1"/>
  <c r="I1260" i="1"/>
  <c r="J1260" i="1"/>
  <c r="K1260" i="1"/>
  <c r="H1261" i="1"/>
  <c r="I1261" i="1"/>
  <c r="J1261" i="1"/>
  <c r="K1261" i="1"/>
  <c r="H1262" i="1"/>
  <c r="I1262" i="1"/>
  <c r="J1262" i="1"/>
  <c r="K1262" i="1"/>
  <c r="H1263" i="1"/>
  <c r="I1263" i="1"/>
  <c r="J1263" i="1"/>
  <c r="K1263" i="1"/>
  <c r="H1264" i="1"/>
  <c r="I1264" i="1"/>
  <c r="J1264" i="1"/>
  <c r="K1264" i="1"/>
  <c r="H1265" i="1"/>
  <c r="I1265" i="1"/>
  <c r="J1265" i="1"/>
  <c r="K1265" i="1"/>
  <c r="H1266" i="1"/>
  <c r="I1266" i="1"/>
  <c r="J1266" i="1"/>
  <c r="K1266" i="1"/>
  <c r="H1267" i="1"/>
  <c r="I1267" i="1"/>
  <c r="J1267" i="1"/>
  <c r="K1267" i="1"/>
  <c r="H1268" i="1"/>
  <c r="I1268" i="1"/>
  <c r="J1268" i="1"/>
  <c r="K1268" i="1"/>
  <c r="H1269" i="1"/>
  <c r="I1269" i="1"/>
  <c r="J1269" i="1"/>
  <c r="K1269" i="1"/>
  <c r="H1270" i="1"/>
  <c r="I1270" i="1"/>
  <c r="J1270" i="1"/>
  <c r="K1270" i="1"/>
  <c r="H1271" i="1"/>
  <c r="I1271" i="1"/>
  <c r="J1271" i="1"/>
  <c r="K1271" i="1"/>
  <c r="H1272" i="1"/>
  <c r="I1272" i="1"/>
  <c r="J1272" i="1"/>
  <c r="K1272" i="1"/>
  <c r="H1273" i="1"/>
  <c r="I1273" i="1"/>
  <c r="J1273" i="1"/>
  <c r="K1273" i="1"/>
  <c r="H1274" i="1"/>
  <c r="I1274" i="1"/>
  <c r="J1274" i="1"/>
  <c r="K1274" i="1"/>
  <c r="H1275" i="1"/>
  <c r="I1275" i="1"/>
  <c r="J1275" i="1"/>
  <c r="K1275" i="1"/>
  <c r="H1276" i="1"/>
  <c r="I1276" i="1"/>
  <c r="J1276" i="1"/>
  <c r="K1276" i="1"/>
  <c r="H1277" i="1"/>
  <c r="I1277" i="1"/>
  <c r="J1277" i="1"/>
  <c r="K1277" i="1"/>
  <c r="H1278" i="1"/>
  <c r="I1278" i="1"/>
  <c r="J1278" i="1"/>
  <c r="K1278" i="1"/>
  <c r="H1279" i="1"/>
  <c r="I1279" i="1"/>
  <c r="J1279" i="1"/>
  <c r="K1279" i="1"/>
  <c r="H1280" i="1"/>
  <c r="I1280" i="1"/>
  <c r="J1280" i="1"/>
  <c r="K1280" i="1"/>
  <c r="H1281" i="1"/>
  <c r="I1281" i="1"/>
  <c r="J1281" i="1"/>
  <c r="K1281" i="1"/>
  <c r="H1282" i="1"/>
  <c r="I1282" i="1"/>
  <c r="J1282" i="1"/>
  <c r="K1282" i="1"/>
  <c r="H1283" i="1"/>
  <c r="I1283" i="1"/>
  <c r="J1283" i="1"/>
  <c r="K1283" i="1"/>
  <c r="H1284" i="1"/>
  <c r="I1284" i="1"/>
  <c r="J1284" i="1"/>
  <c r="K1284" i="1"/>
  <c r="H1285" i="1"/>
  <c r="I1285" i="1"/>
  <c r="J1285" i="1"/>
  <c r="K1285" i="1"/>
  <c r="H1286" i="1"/>
  <c r="I1286" i="1"/>
  <c r="J1286" i="1"/>
  <c r="K1286" i="1"/>
  <c r="H1287" i="1"/>
  <c r="I1287" i="1"/>
  <c r="J1287" i="1"/>
  <c r="K1287" i="1"/>
  <c r="H1288" i="1"/>
  <c r="I1288" i="1"/>
  <c r="J1288" i="1"/>
  <c r="K1288" i="1"/>
  <c r="H1289" i="1"/>
  <c r="I1289" i="1"/>
  <c r="J1289" i="1"/>
  <c r="K1289" i="1"/>
  <c r="H1290" i="1"/>
  <c r="I1290" i="1"/>
  <c r="J1290" i="1"/>
  <c r="K1290" i="1"/>
  <c r="H1291" i="1"/>
  <c r="I1291" i="1"/>
  <c r="J1291" i="1"/>
  <c r="K1291" i="1"/>
  <c r="H1292" i="1"/>
  <c r="I1292" i="1"/>
  <c r="J1292" i="1"/>
  <c r="K1292" i="1"/>
  <c r="H1293" i="1"/>
  <c r="I1293" i="1"/>
  <c r="J1293" i="1"/>
  <c r="K1293" i="1"/>
  <c r="H1294" i="1"/>
  <c r="I1294" i="1"/>
  <c r="J1294" i="1"/>
  <c r="K1294" i="1"/>
  <c r="H1295" i="1"/>
  <c r="I1295" i="1"/>
  <c r="J1295" i="1"/>
  <c r="K1295" i="1"/>
  <c r="H1296" i="1"/>
  <c r="I1296" i="1"/>
  <c r="J1296" i="1"/>
  <c r="K1296" i="1"/>
  <c r="H1297" i="1"/>
  <c r="I1297" i="1"/>
  <c r="J1297" i="1"/>
  <c r="K1297" i="1"/>
  <c r="H1298" i="1"/>
  <c r="I1298" i="1"/>
  <c r="J1298" i="1"/>
  <c r="K1298" i="1"/>
  <c r="H1299" i="1"/>
  <c r="I1299" i="1"/>
  <c r="J1299" i="1"/>
  <c r="K1299" i="1"/>
  <c r="H1300" i="1"/>
  <c r="I1300" i="1"/>
  <c r="J1300" i="1"/>
  <c r="K1300" i="1"/>
  <c r="H1301" i="1"/>
  <c r="I1301" i="1"/>
  <c r="J1301" i="1"/>
  <c r="K1301" i="1"/>
  <c r="H1302" i="1"/>
  <c r="I1302" i="1"/>
  <c r="J1302" i="1"/>
  <c r="K1302" i="1"/>
  <c r="H1303" i="1"/>
  <c r="I1303" i="1"/>
  <c r="J1303" i="1"/>
  <c r="K1303" i="1"/>
  <c r="H1304" i="1"/>
  <c r="I1304" i="1"/>
  <c r="J1304" i="1"/>
  <c r="K1304" i="1"/>
  <c r="H1305" i="1"/>
  <c r="I1305" i="1"/>
  <c r="J1305" i="1"/>
  <c r="K1305" i="1"/>
  <c r="H1306" i="1"/>
  <c r="I1306" i="1"/>
  <c r="J1306" i="1"/>
  <c r="K1306" i="1"/>
  <c r="H1307" i="1"/>
  <c r="I1307" i="1"/>
  <c r="J1307" i="1"/>
  <c r="K1307" i="1"/>
  <c r="H1308" i="1"/>
  <c r="I1308" i="1"/>
  <c r="J1308" i="1"/>
  <c r="K1308" i="1"/>
  <c r="H1309" i="1"/>
  <c r="I1309" i="1"/>
  <c r="J1309" i="1"/>
  <c r="K1309" i="1"/>
  <c r="H1310" i="1"/>
  <c r="I1310" i="1"/>
  <c r="J1310" i="1"/>
  <c r="K1310" i="1"/>
  <c r="H1311" i="1"/>
  <c r="I1311" i="1"/>
  <c r="J1311" i="1"/>
  <c r="K1311" i="1"/>
  <c r="H1312" i="1"/>
  <c r="I1312" i="1"/>
  <c r="J1312" i="1"/>
  <c r="K1312" i="1"/>
  <c r="H1313" i="1"/>
  <c r="I1313" i="1"/>
  <c r="J1313" i="1"/>
  <c r="K1313" i="1"/>
  <c r="H1314" i="1"/>
  <c r="I1314" i="1"/>
  <c r="J1314" i="1"/>
  <c r="K1314" i="1"/>
  <c r="H1315" i="1"/>
  <c r="I1315" i="1"/>
  <c r="J1315" i="1"/>
  <c r="K1315" i="1"/>
  <c r="H1316" i="1"/>
  <c r="I1316" i="1"/>
  <c r="J1316" i="1"/>
  <c r="K1316" i="1"/>
  <c r="H1317" i="1"/>
  <c r="I1317" i="1"/>
  <c r="J1317" i="1"/>
  <c r="K1317" i="1"/>
  <c r="H1318" i="1"/>
  <c r="I1318" i="1"/>
  <c r="J1318" i="1"/>
  <c r="K1318" i="1"/>
  <c r="H1319" i="1"/>
  <c r="I1319" i="1"/>
  <c r="J1319" i="1"/>
  <c r="K1319" i="1"/>
  <c r="H1320" i="1"/>
  <c r="I1320" i="1"/>
  <c r="J1320" i="1"/>
  <c r="K1320" i="1"/>
  <c r="H1321" i="1"/>
  <c r="I1321" i="1"/>
  <c r="J1321" i="1"/>
  <c r="K1321" i="1"/>
  <c r="H1322" i="1"/>
  <c r="I1322" i="1"/>
  <c r="J1322" i="1"/>
  <c r="K1322" i="1"/>
  <c r="H1323" i="1"/>
  <c r="I1323" i="1"/>
  <c r="J1323" i="1"/>
  <c r="K1323" i="1"/>
  <c r="H1324" i="1"/>
  <c r="I1324" i="1"/>
  <c r="J1324" i="1"/>
  <c r="K1324" i="1"/>
  <c r="H1325" i="1"/>
  <c r="I1325" i="1"/>
  <c r="J1325" i="1"/>
  <c r="K1325" i="1"/>
  <c r="H1326" i="1"/>
  <c r="I1326" i="1"/>
  <c r="J1326" i="1"/>
  <c r="K1326" i="1"/>
  <c r="H1327" i="1"/>
  <c r="I1327" i="1"/>
  <c r="J1327" i="1"/>
  <c r="K1327" i="1"/>
  <c r="H1328" i="1"/>
  <c r="I1328" i="1"/>
  <c r="J1328" i="1"/>
  <c r="K1328" i="1"/>
  <c r="H1329" i="1"/>
  <c r="I1329" i="1"/>
  <c r="J1329" i="1"/>
  <c r="K1329" i="1"/>
  <c r="H1330" i="1"/>
  <c r="I1330" i="1"/>
  <c r="J1330" i="1"/>
  <c r="K1330" i="1"/>
  <c r="H1331" i="1"/>
  <c r="I1331" i="1"/>
  <c r="J1331" i="1"/>
  <c r="K1331" i="1"/>
  <c r="H1332" i="1"/>
  <c r="I1332" i="1"/>
  <c r="J1332" i="1"/>
  <c r="K1332" i="1"/>
  <c r="H1333" i="1"/>
  <c r="I1333" i="1"/>
  <c r="J1333" i="1"/>
  <c r="K1333" i="1"/>
  <c r="H1334" i="1"/>
  <c r="I1334" i="1"/>
  <c r="J1334" i="1"/>
  <c r="K1334" i="1"/>
  <c r="H1335" i="1"/>
  <c r="I1335" i="1"/>
  <c r="J1335" i="1"/>
  <c r="K1335" i="1"/>
  <c r="H1336" i="1"/>
  <c r="I1336" i="1"/>
  <c r="J1336" i="1"/>
  <c r="K1336" i="1"/>
  <c r="H1337" i="1"/>
  <c r="I1337" i="1"/>
  <c r="J1337" i="1"/>
  <c r="K1337" i="1"/>
  <c r="H1338" i="1"/>
  <c r="I1338" i="1"/>
  <c r="J1338" i="1"/>
  <c r="K1338" i="1"/>
  <c r="H1339" i="1"/>
  <c r="I1339" i="1"/>
  <c r="J1339" i="1"/>
  <c r="K1339" i="1"/>
</calcChain>
</file>

<file path=xl/sharedStrings.xml><?xml version="1.0" encoding="utf-8"?>
<sst xmlns="http://schemas.openxmlformats.org/spreadsheetml/2006/main" count="4025" uniqueCount="19">
  <si>
    <t>Northwest</t>
  </si>
  <si>
    <t>Yes</t>
  </si>
  <si>
    <t>Female</t>
  </si>
  <si>
    <t>Southwest</t>
  </si>
  <si>
    <t>No</t>
  </si>
  <si>
    <t>Southeast</t>
  </si>
  <si>
    <t>Northeast</t>
  </si>
  <si>
    <t>Male</t>
  </si>
  <si>
    <t>High_charge</t>
  </si>
  <si>
    <t>Smoker_binary</t>
  </si>
  <si>
    <t>BMI_category</t>
  </si>
  <si>
    <t>Age_group</t>
  </si>
  <si>
    <t>Charges</t>
  </si>
  <si>
    <t>Region</t>
  </si>
  <si>
    <t>Smoker</t>
  </si>
  <si>
    <t>Children</t>
  </si>
  <si>
    <t>BMI</t>
  </si>
  <si>
    <t>Sex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</si>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</sst>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sz val="11"/>
      <color rgb="FF0F1115"/>
      <name val="Aptos Narrow"/>
      <family val="2"/>
      <scheme val="minor"/>
    </font>
    <font>
      <sz val="8"/>
      <color rgb="FF0F1115"/>
      <name val="Segoe UI"/>
      <family val="2"/>
    </font>
    <font>
      <sz val="7"/>
      <color rgb="FF0F1115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3" fillId="0" borderId="0" xfId="0" applyFont="1"/>
    <xf numFmtId="164" fontId="1" fillId="0" borderId="0" xfId="0" applyNumberFormat="1" applyFon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115"/>
        <name val="Aptos Narrow"/>
        <family val="2"/>
        <scheme val="minor"/>
      </font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EB3697-42EA-4A04-B46A-44A6DC44A70C}" name="Table1" displayName="Table1" ref="A1:K1339" totalsRowShown="0">
  <autoFilter ref="A1:K1339" xr:uid="{50763924-A2E5-44E0-A777-64893E957952}"/>
  <tableColumns count="11">
    <tableColumn id="1" xr3:uid="{8444555D-F8C4-4652-8B2A-18081413CAAC}" name="Age"/>
    <tableColumn id="2" xr3:uid="{CCAEC5C5-CE38-4191-BA7D-AC697BA09936}" name="Sex"/>
    <tableColumn id="3" xr3:uid="{D0F7C6C4-79A2-469A-ACFD-CE1F26A0DD78}" name="BMI"/>
    <tableColumn id="4" xr3:uid="{31623096-B95C-4274-B295-A1138A8EBE25}" name="Children"/>
    <tableColumn id="5" xr3:uid="{46D16D11-775B-44AA-BF12-013AC947094E}" name="Smoker"/>
    <tableColumn id="6" xr3:uid="{1EBD9FB8-6156-4EB3-BF34-E0A3D83BE791}" name="Region"/>
    <tableColumn id="7" xr3:uid="{8A5E2EFB-B57B-4C5B-A290-B8E10181EDA8}" name="Charges" dataDxfId="4"/>
    <tableColumn id="8" xr3:uid="{AB43D771-2A76-4C8F-9F22-2B4AF0604284}" name="Age_group" dataDxfId="3">
      <calculatedColumnFormula>IF(A2&lt;31,"18-30",IF(A2&lt;46,"31-45",IF(A2&lt;61,"46-60","60+")))</calculatedColumnFormula>
    </tableColumn>
    <tableColumn id="9" xr3:uid="{634E9A81-9FFE-4391-BE1F-F791770C7818}" name="BMI_category" dataDxfId="2">
      <calculatedColumnFormula>IF(C2&lt;18.5,"Underweight",IF(C2&lt;25,"Normal",IF(C2&lt;30,"Overweight","Obese")))</calculatedColumnFormula>
    </tableColumn>
    <tableColumn id="10" xr3:uid="{A1AE21DE-3F6D-4101-A15D-F4F0A4DDD71D}" name="Smoker_binary" dataDxfId="1">
      <calculatedColumnFormula>IF(E2="yes",1,0)</calculatedColumnFormula>
    </tableColumn>
    <tableColumn id="11" xr3:uid="{94F26DD8-39D8-4BAF-94B6-40730AC28B0E}" name="High_charge" dataDxfId="0">
      <calculatedColumnFormula>IF(G2&gt;15000,"High","Low")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DEA17-63B5-4BD7-AA4A-8182B1194A8B}">
  <dimension ref="A1:P1339"/>
  <sheetViews>
    <sheetView tabSelected="1" topLeftCell="A24" workbookViewId="0">
      <selection activeCell="M1" sqref="M1"/>
    </sheetView>
  </sheetViews>
  <sheetFormatPr defaultRowHeight="14.5" x14ac:dyDescent="0.35"/>
  <cols>
    <col min="4" max="4" width="9.36328125" customWidth="1"/>
    <col min="5" max="5" width="8.81640625" customWidth="1"/>
    <col min="6" max="6" width="9.26953125" bestFit="1" customWidth="1"/>
    <col min="7" max="7" width="9.90625" bestFit="1" customWidth="1"/>
    <col min="8" max="8" width="11.6328125" bestFit="1" customWidth="1"/>
    <col min="9" max="9" width="14.08984375" bestFit="1" customWidth="1"/>
    <col min="10" max="10" width="15.6328125" bestFit="1" customWidth="1"/>
    <col min="11" max="11" width="13.36328125" bestFit="1" customWidth="1"/>
    <col min="14" max="14" width="12.08984375" bestFit="1" customWidth="1"/>
  </cols>
  <sheetData>
    <row r="1" spans="1:16" x14ac:dyDescent="0.35">
      <c r="A1" t="s">
        <v>18</v>
      </c>
      <c r="B1" t="s">
        <v>17</v>
      </c>
      <c r="C1" t="s">
        <v>16</v>
      </c>
      <c r="D1" t="s">
        <v>15</v>
      </c>
      <c r="E1" t="s">
        <v>14</v>
      </c>
      <c r="F1" t="s">
        <v>13</v>
      </c>
      <c r="G1" t="s">
        <v>12</v>
      </c>
      <c r="H1" t="s">
        <v>11</v>
      </c>
      <c r="I1" t="s">
        <v>10</v>
      </c>
      <c r="J1" t="s">
        <v>9</v>
      </c>
      <c r="K1" t="s">
        <v>8</v>
      </c>
    </row>
    <row r="2" spans="1:16" x14ac:dyDescent="0.35">
      <c r="A2">
        <v>19</v>
      </c>
      <c r="B2" t="s">
        <v>2</v>
      </c>
      <c r="C2">
        <v>27.9</v>
      </c>
      <c r="D2">
        <v>0</v>
      </c>
      <c r="E2" t="s">
        <v>1</v>
      </c>
      <c r="F2" t="s">
        <v>3</v>
      </c>
      <c r="G2" s="2">
        <v>16884.923999999999</v>
      </c>
      <c r="H2" s="1" t="str">
        <f>IF(A2&lt;31,"18-30",IF(A2&lt;46,"31-45",IF(A2&lt;61,"46-60","60+")))</f>
        <v>18-30</v>
      </c>
      <c r="I2" s="1" t="str">
        <f>IF(C2&lt;18.5,"Underweight",IF(C2&lt;25,"Normal",IF(C2&lt;30,"Overweight","Obese")))</f>
        <v>Overweight</v>
      </c>
      <c r="J2" s="1">
        <f>IF(E2="yes",1,0)</f>
        <v>1</v>
      </c>
      <c r="K2" s="6" t="str">
        <f>IF(G2&gt;15000,"High","Low")</f>
        <v>High</v>
      </c>
    </row>
    <row r="3" spans="1:16" x14ac:dyDescent="0.35">
      <c r="A3">
        <v>18</v>
      </c>
      <c r="B3" t="s">
        <v>7</v>
      </c>
      <c r="C3">
        <v>33.770000000000003</v>
      </c>
      <c r="D3">
        <v>1</v>
      </c>
      <c r="E3" t="s">
        <v>4</v>
      </c>
      <c r="F3" t="s">
        <v>5</v>
      </c>
      <c r="G3" s="2">
        <v>1725.5523000000001</v>
      </c>
      <c r="H3" s="1" t="str">
        <f>IF(A3&lt;31,"18-30",IF(A3&lt;46,"31-45",IF(A3&lt;61,"46-60","60+")))</f>
        <v>18-30</v>
      </c>
      <c r="I3" t="str">
        <f>IF(C3&lt;18.5,"Underweight",IF(C3&lt;25,"Normal",IF(C3&lt;30,"Overweight","Obese")))</f>
        <v>Obese</v>
      </c>
      <c r="J3">
        <f>IF(E3="yes",1,0)</f>
        <v>0</v>
      </c>
      <c r="K3" t="str">
        <f>IF(G3&gt;15000,"High","Low")</f>
        <v>Low</v>
      </c>
    </row>
    <row r="4" spans="1:16" x14ac:dyDescent="0.35">
      <c r="A4">
        <v>28</v>
      </c>
      <c r="B4" t="s">
        <v>7</v>
      </c>
      <c r="C4">
        <v>33</v>
      </c>
      <c r="D4">
        <v>3</v>
      </c>
      <c r="E4" t="s">
        <v>4</v>
      </c>
      <c r="F4" t="s">
        <v>5</v>
      </c>
      <c r="G4" s="2">
        <v>4449.4620000000004</v>
      </c>
      <c r="H4" s="1" t="str">
        <f>IF(A4&lt;31,"18-30",IF(A4&lt;46,"31-45",IF(A4&lt;61,"46-60","60+")))</f>
        <v>18-30</v>
      </c>
      <c r="I4" t="str">
        <f>IF(C4&lt;18.5,"Underweight",IF(C4&lt;25,"Normal",IF(C4&lt;30,"Overweight","Obese")))</f>
        <v>Obese</v>
      </c>
      <c r="J4">
        <f>IF(E4="yes",1,0)</f>
        <v>0</v>
      </c>
      <c r="K4" t="str">
        <f>IF(G4&gt;15000,"High","Low")</f>
        <v>Low</v>
      </c>
      <c r="O4" s="5"/>
    </row>
    <row r="5" spans="1:16" x14ac:dyDescent="0.35">
      <c r="A5">
        <v>33</v>
      </c>
      <c r="B5" t="s">
        <v>7</v>
      </c>
      <c r="C5">
        <v>22.704999999999998</v>
      </c>
      <c r="D5">
        <v>0</v>
      </c>
      <c r="E5" t="s">
        <v>4</v>
      </c>
      <c r="F5" t="s">
        <v>0</v>
      </c>
      <c r="G5" s="2">
        <v>21984.47061</v>
      </c>
      <c r="H5" s="1" t="str">
        <f>IF(A5&lt;31,"18-30",IF(A5&lt;46,"31-45",IF(A5&lt;61,"46-60","60+")))</f>
        <v>31-45</v>
      </c>
      <c r="I5" t="str">
        <f>IF(C5&lt;18.5,"Underweight",IF(C5&lt;25,"Normal",IF(C5&lt;30,"Overweight","Obese")))</f>
        <v>Normal</v>
      </c>
      <c r="J5">
        <f>IF(E5="yes",1,0)</f>
        <v>0</v>
      </c>
      <c r="K5" t="str">
        <f>IF(G5&gt;15000,"High","Low")</f>
        <v>High</v>
      </c>
    </row>
    <row r="6" spans="1:16" x14ac:dyDescent="0.35">
      <c r="A6">
        <v>32</v>
      </c>
      <c r="B6" t="s">
        <v>7</v>
      </c>
      <c r="C6">
        <v>28.88</v>
      </c>
      <c r="D6">
        <v>0</v>
      </c>
      <c r="E6" t="s">
        <v>4</v>
      </c>
      <c r="F6" t="s">
        <v>0</v>
      </c>
      <c r="G6" s="2">
        <v>3866.8552</v>
      </c>
      <c r="H6" s="1" t="str">
        <f>IF(A6&lt;31,"18-30",IF(A6&lt;46,"31-45",IF(A6&lt;61,"46-60","60+")))</f>
        <v>31-45</v>
      </c>
      <c r="I6" t="str">
        <f>IF(C6&lt;18.5,"Underweight",IF(C6&lt;25,"Normal",IF(C6&lt;30,"Overweight","Obese")))</f>
        <v>Overweight</v>
      </c>
      <c r="J6">
        <f>IF(E6="yes",1,0)</f>
        <v>0</v>
      </c>
      <c r="K6" t="str">
        <f>IF(G6&gt;15000,"High","Low")</f>
        <v>Low</v>
      </c>
    </row>
    <row r="7" spans="1:16" x14ac:dyDescent="0.35">
      <c r="A7">
        <v>31</v>
      </c>
      <c r="B7" t="s">
        <v>2</v>
      </c>
      <c r="C7">
        <v>25.74</v>
      </c>
      <c r="D7">
        <v>0</v>
      </c>
      <c r="E7" t="s">
        <v>4</v>
      </c>
      <c r="F7" t="s">
        <v>5</v>
      </c>
      <c r="G7" s="2">
        <v>3756.6215999999999</v>
      </c>
      <c r="H7" s="1" t="str">
        <f>IF(A7&lt;31,"18-30",IF(A7&lt;46,"31-45",IF(A7&lt;61,"46-60","60+")))</f>
        <v>31-45</v>
      </c>
      <c r="I7" t="str">
        <f>IF(C7&lt;18.5,"Underweight",IF(C7&lt;25,"Normal",IF(C7&lt;30,"Overweight","Obese")))</f>
        <v>Overweight</v>
      </c>
      <c r="J7">
        <f>IF(E7="yes",1,0)</f>
        <v>0</v>
      </c>
      <c r="K7" t="str">
        <f>IF(G7&gt;15000,"High","Low")</f>
        <v>Low</v>
      </c>
      <c r="O7" s="4"/>
      <c r="P7" s="3"/>
    </row>
    <row r="8" spans="1:16" x14ac:dyDescent="0.35">
      <c r="A8">
        <v>46</v>
      </c>
      <c r="B8" t="s">
        <v>2</v>
      </c>
      <c r="C8">
        <v>33.44</v>
      </c>
      <c r="D8">
        <v>1</v>
      </c>
      <c r="E8" t="s">
        <v>4</v>
      </c>
      <c r="F8" t="s">
        <v>5</v>
      </c>
      <c r="G8" s="2">
        <v>8240.5895999999993</v>
      </c>
      <c r="H8" s="1" t="str">
        <f>IF(A8&lt;31,"18-30",IF(A8&lt;46,"31-45",IF(A8&lt;61,"46-60","60+")))</f>
        <v>46-60</v>
      </c>
      <c r="I8" t="str">
        <f>IF(C8&lt;18.5,"Underweight",IF(C8&lt;25,"Normal",IF(C8&lt;30,"Overweight","Obese")))</f>
        <v>Obese</v>
      </c>
      <c r="J8">
        <f>IF(E8="yes",1,0)</f>
        <v>0</v>
      </c>
      <c r="K8" t="str">
        <f>IF(G8&gt;15000,"High","Low")</f>
        <v>Low</v>
      </c>
      <c r="O8" s="1"/>
    </row>
    <row r="9" spans="1:16" x14ac:dyDescent="0.35">
      <c r="A9">
        <v>37</v>
      </c>
      <c r="B9" t="s">
        <v>2</v>
      </c>
      <c r="C9">
        <v>27.74</v>
      </c>
      <c r="D9">
        <v>3</v>
      </c>
      <c r="E9" t="s">
        <v>4</v>
      </c>
      <c r="F9" t="s">
        <v>0</v>
      </c>
      <c r="G9" s="2">
        <v>7281.5056000000004</v>
      </c>
      <c r="H9" s="1" t="str">
        <f>IF(A9&lt;31,"18-30",IF(A9&lt;46,"31-45",IF(A9&lt;61,"46-60","60+")))</f>
        <v>31-45</v>
      </c>
      <c r="I9" t="str">
        <f>IF(C9&lt;18.5,"Underweight",IF(C9&lt;25,"Normal",IF(C9&lt;30,"Overweight","Obese")))</f>
        <v>Overweight</v>
      </c>
      <c r="J9">
        <f>IF(E9="yes",1,0)</f>
        <v>0</v>
      </c>
      <c r="K9" t="str">
        <f>IF(G9&gt;15000,"High","Low")</f>
        <v>Low</v>
      </c>
      <c r="O9" s="1"/>
    </row>
    <row r="10" spans="1:16" x14ac:dyDescent="0.35">
      <c r="A10">
        <v>37</v>
      </c>
      <c r="B10" t="s">
        <v>7</v>
      </c>
      <c r="C10">
        <v>29.83</v>
      </c>
      <c r="D10">
        <v>2</v>
      </c>
      <c r="E10" t="s">
        <v>4</v>
      </c>
      <c r="F10" t="s">
        <v>6</v>
      </c>
      <c r="G10" s="2">
        <v>6406.4107000000004</v>
      </c>
      <c r="H10" s="1" t="str">
        <f>IF(A10&lt;31,"18-30",IF(A10&lt;46,"31-45",IF(A10&lt;61,"46-60","60+")))</f>
        <v>31-45</v>
      </c>
      <c r="I10" t="str">
        <f>IF(C10&lt;18.5,"Underweight",IF(C10&lt;25,"Normal",IF(C10&lt;30,"Overweight","Obese")))</f>
        <v>Overweight</v>
      </c>
      <c r="J10">
        <f>IF(E10="yes",1,0)</f>
        <v>0</v>
      </c>
      <c r="K10" t="str">
        <f>IF(G10&gt;15000,"High","Low")</f>
        <v>Low</v>
      </c>
      <c r="O10" s="1"/>
    </row>
    <row r="11" spans="1:16" x14ac:dyDescent="0.35">
      <c r="A11">
        <v>60</v>
      </c>
      <c r="B11" t="s">
        <v>2</v>
      </c>
      <c r="C11">
        <v>25.84</v>
      </c>
      <c r="D11">
        <v>0</v>
      </c>
      <c r="E11" t="s">
        <v>4</v>
      </c>
      <c r="F11" t="s">
        <v>0</v>
      </c>
      <c r="G11" s="2">
        <v>28923.136920000001</v>
      </c>
      <c r="H11" s="1" t="str">
        <f>IF(A11&lt;31,"18-30",IF(A11&lt;46,"31-45",IF(A11&lt;61,"46-60","60+")))</f>
        <v>46-60</v>
      </c>
      <c r="I11" t="str">
        <f>IF(C11&lt;18.5,"Underweight",IF(C11&lt;25,"Normal",IF(C11&lt;30,"Overweight","Obese")))</f>
        <v>Overweight</v>
      </c>
      <c r="J11">
        <f>IF(E11="yes",1,0)</f>
        <v>0</v>
      </c>
      <c r="K11" t="str">
        <f>IF(G11&gt;15000,"High","Low")</f>
        <v>High</v>
      </c>
      <c r="O11" s="1"/>
    </row>
    <row r="12" spans="1:16" x14ac:dyDescent="0.35">
      <c r="A12">
        <v>25</v>
      </c>
      <c r="B12" t="s">
        <v>7</v>
      </c>
      <c r="C12">
        <v>26.22</v>
      </c>
      <c r="D12">
        <v>0</v>
      </c>
      <c r="E12" t="s">
        <v>4</v>
      </c>
      <c r="F12" t="s">
        <v>6</v>
      </c>
      <c r="G12" s="2">
        <v>2721.3208</v>
      </c>
      <c r="H12" s="1" t="str">
        <f>IF(A12&lt;31,"18-30",IF(A12&lt;46,"31-45",IF(A12&lt;61,"46-60","60+")))</f>
        <v>18-30</v>
      </c>
      <c r="I12" t="str">
        <f>IF(C12&lt;18.5,"Underweight",IF(C12&lt;25,"Normal",IF(C12&lt;30,"Overweight","Obese")))</f>
        <v>Overweight</v>
      </c>
      <c r="J12">
        <f>IF(E12="yes",1,0)</f>
        <v>0</v>
      </c>
      <c r="K12" t="str">
        <f>IF(G12&gt;15000,"High","Low")</f>
        <v>Low</v>
      </c>
    </row>
    <row r="13" spans="1:16" x14ac:dyDescent="0.35">
      <c r="A13">
        <v>62</v>
      </c>
      <c r="B13" t="s">
        <v>2</v>
      </c>
      <c r="C13">
        <v>26.29</v>
      </c>
      <c r="D13">
        <v>0</v>
      </c>
      <c r="E13" t="s">
        <v>1</v>
      </c>
      <c r="F13" t="s">
        <v>5</v>
      </c>
      <c r="G13" s="2">
        <v>27808.7251</v>
      </c>
      <c r="H13" s="1" t="str">
        <f>IF(A13&lt;31,"18-30",IF(A13&lt;46,"31-45",IF(A13&lt;61,"46-60","60+")))</f>
        <v>60+</v>
      </c>
      <c r="I13" t="str">
        <f>IF(C13&lt;18.5,"Underweight",IF(C13&lt;25,"Normal",IF(C13&lt;30,"Overweight","Obese")))</f>
        <v>Overweight</v>
      </c>
      <c r="J13">
        <f>IF(E13="yes",1,0)</f>
        <v>1</v>
      </c>
      <c r="K13" t="str">
        <f>IF(G13&gt;15000,"High","Low")</f>
        <v>High</v>
      </c>
    </row>
    <row r="14" spans="1:16" x14ac:dyDescent="0.35">
      <c r="A14">
        <v>23</v>
      </c>
      <c r="B14" t="s">
        <v>7</v>
      </c>
      <c r="C14">
        <v>34.4</v>
      </c>
      <c r="D14">
        <v>0</v>
      </c>
      <c r="E14" t="s">
        <v>4</v>
      </c>
      <c r="F14" t="s">
        <v>3</v>
      </c>
      <c r="G14" s="2">
        <v>1826.8430000000001</v>
      </c>
      <c r="H14" s="1" t="str">
        <f>IF(A14&lt;31,"18-30",IF(A14&lt;46,"31-45",IF(A14&lt;61,"46-60","60+")))</f>
        <v>18-30</v>
      </c>
      <c r="I14" t="str">
        <f>IF(C14&lt;18.5,"Underweight",IF(C14&lt;25,"Normal",IF(C14&lt;30,"Overweight","Obese")))</f>
        <v>Obese</v>
      </c>
      <c r="J14">
        <f>IF(E14="yes",1,0)</f>
        <v>0</v>
      </c>
      <c r="K14" t="str">
        <f>IF(G14&gt;15000,"High","Low")</f>
        <v>Low</v>
      </c>
    </row>
    <row r="15" spans="1:16" x14ac:dyDescent="0.35">
      <c r="A15">
        <v>56</v>
      </c>
      <c r="B15" t="s">
        <v>2</v>
      </c>
      <c r="C15">
        <v>39.82</v>
      </c>
      <c r="D15">
        <v>0</v>
      </c>
      <c r="E15" t="s">
        <v>4</v>
      </c>
      <c r="F15" t="s">
        <v>5</v>
      </c>
      <c r="G15" s="2">
        <v>11090.7178</v>
      </c>
      <c r="H15" s="1" t="str">
        <f>IF(A15&lt;31,"18-30",IF(A15&lt;46,"31-45",IF(A15&lt;61,"46-60","60+")))</f>
        <v>46-60</v>
      </c>
      <c r="I15" t="str">
        <f>IF(C15&lt;18.5,"Underweight",IF(C15&lt;25,"Normal",IF(C15&lt;30,"Overweight","Obese")))</f>
        <v>Obese</v>
      </c>
      <c r="J15">
        <f>IF(E15="yes",1,0)</f>
        <v>0</v>
      </c>
      <c r="K15" t="str">
        <f>IF(G15&gt;15000,"High","Low")</f>
        <v>Low</v>
      </c>
    </row>
    <row r="16" spans="1:16" x14ac:dyDescent="0.35">
      <c r="A16">
        <v>27</v>
      </c>
      <c r="B16" t="s">
        <v>7</v>
      </c>
      <c r="C16">
        <v>42.13</v>
      </c>
      <c r="D16">
        <v>0</v>
      </c>
      <c r="E16" t="s">
        <v>1</v>
      </c>
      <c r="F16" t="s">
        <v>5</v>
      </c>
      <c r="G16" s="2">
        <v>39611.757700000002</v>
      </c>
      <c r="H16" s="1" t="str">
        <f>IF(A16&lt;31,"18-30",IF(A16&lt;46,"31-45",IF(A16&lt;61,"46-60","60+")))</f>
        <v>18-30</v>
      </c>
      <c r="I16" t="str">
        <f>IF(C16&lt;18.5,"Underweight",IF(C16&lt;25,"Normal",IF(C16&lt;30,"Overweight","Obese")))</f>
        <v>Obese</v>
      </c>
      <c r="J16">
        <f>IF(E16="yes",1,0)</f>
        <v>1</v>
      </c>
      <c r="K16" t="str">
        <f>IF(G16&gt;15000,"High","Low")</f>
        <v>High</v>
      </c>
    </row>
    <row r="17" spans="1:11" x14ac:dyDescent="0.35">
      <c r="A17">
        <v>19</v>
      </c>
      <c r="B17" t="s">
        <v>7</v>
      </c>
      <c r="C17">
        <v>24.6</v>
      </c>
      <c r="D17">
        <v>1</v>
      </c>
      <c r="E17" t="s">
        <v>4</v>
      </c>
      <c r="F17" t="s">
        <v>3</v>
      </c>
      <c r="G17" s="2">
        <v>1837.2370000000001</v>
      </c>
      <c r="H17" s="1" t="str">
        <f>IF(A17&lt;31,"18-30",IF(A17&lt;46,"31-45",IF(A17&lt;61,"46-60","60+")))</f>
        <v>18-30</v>
      </c>
      <c r="I17" t="str">
        <f>IF(C17&lt;18.5,"Underweight",IF(C17&lt;25,"Normal",IF(C17&lt;30,"Overweight","Obese")))</f>
        <v>Normal</v>
      </c>
      <c r="J17">
        <f>IF(E17="yes",1,0)</f>
        <v>0</v>
      </c>
      <c r="K17" t="str">
        <f>IF(G17&gt;15000,"High","Low")</f>
        <v>Low</v>
      </c>
    </row>
    <row r="18" spans="1:11" x14ac:dyDescent="0.35">
      <c r="A18">
        <v>52</v>
      </c>
      <c r="B18" t="s">
        <v>2</v>
      </c>
      <c r="C18">
        <v>30.78</v>
      </c>
      <c r="D18">
        <v>1</v>
      </c>
      <c r="E18" t="s">
        <v>4</v>
      </c>
      <c r="F18" t="s">
        <v>6</v>
      </c>
      <c r="G18" s="2">
        <v>10797.3362</v>
      </c>
      <c r="H18" s="1" t="str">
        <f>IF(A18&lt;31,"18-30",IF(A18&lt;46,"31-45",IF(A18&lt;61,"46-60","60+")))</f>
        <v>46-60</v>
      </c>
      <c r="I18" t="str">
        <f>IF(C18&lt;18.5,"Underweight",IF(C18&lt;25,"Normal",IF(C18&lt;30,"Overweight","Obese")))</f>
        <v>Obese</v>
      </c>
      <c r="J18">
        <f>IF(E18="yes",1,0)</f>
        <v>0</v>
      </c>
      <c r="K18" t="str">
        <f>IF(G18&gt;15000,"High","Low")</f>
        <v>Low</v>
      </c>
    </row>
    <row r="19" spans="1:11" x14ac:dyDescent="0.35">
      <c r="A19">
        <v>23</v>
      </c>
      <c r="B19" t="s">
        <v>7</v>
      </c>
      <c r="C19">
        <v>23.844999999999999</v>
      </c>
      <c r="D19">
        <v>0</v>
      </c>
      <c r="E19" t="s">
        <v>4</v>
      </c>
      <c r="F19" t="s">
        <v>6</v>
      </c>
      <c r="G19" s="2">
        <v>2395.17155</v>
      </c>
      <c r="H19" s="1" t="str">
        <f>IF(A19&lt;31,"18-30",IF(A19&lt;46,"31-45",IF(A19&lt;61,"46-60","60+")))</f>
        <v>18-30</v>
      </c>
      <c r="I19" t="str">
        <f>IF(C19&lt;18.5,"Underweight",IF(C19&lt;25,"Normal",IF(C19&lt;30,"Overweight","Obese")))</f>
        <v>Normal</v>
      </c>
      <c r="J19">
        <f>IF(E19="yes",1,0)</f>
        <v>0</v>
      </c>
      <c r="K19" t="str">
        <f>IF(G19&gt;15000,"High","Low")</f>
        <v>Low</v>
      </c>
    </row>
    <row r="20" spans="1:11" x14ac:dyDescent="0.35">
      <c r="A20">
        <v>56</v>
      </c>
      <c r="B20" t="s">
        <v>7</v>
      </c>
      <c r="C20">
        <v>40.299999999999997</v>
      </c>
      <c r="D20">
        <v>0</v>
      </c>
      <c r="E20" t="s">
        <v>4</v>
      </c>
      <c r="F20" t="s">
        <v>3</v>
      </c>
      <c r="G20" s="2">
        <v>10602.385</v>
      </c>
      <c r="H20" s="1" t="str">
        <f>IF(A20&lt;31,"18-30",IF(A20&lt;46,"31-45",IF(A20&lt;61,"46-60","60+")))</f>
        <v>46-60</v>
      </c>
      <c r="I20" t="str">
        <f>IF(C20&lt;18.5,"Underweight",IF(C20&lt;25,"Normal",IF(C20&lt;30,"Overweight","Obese")))</f>
        <v>Obese</v>
      </c>
      <c r="J20">
        <f>IF(E20="yes",1,0)</f>
        <v>0</v>
      </c>
      <c r="K20" t="str">
        <f>IF(G20&gt;15000,"High","Low")</f>
        <v>Low</v>
      </c>
    </row>
    <row r="21" spans="1:11" x14ac:dyDescent="0.35">
      <c r="A21">
        <v>30</v>
      </c>
      <c r="B21" t="s">
        <v>7</v>
      </c>
      <c r="C21">
        <v>35.299999999999997</v>
      </c>
      <c r="D21">
        <v>0</v>
      </c>
      <c r="E21" t="s">
        <v>1</v>
      </c>
      <c r="F21" t="s">
        <v>3</v>
      </c>
      <c r="G21" s="2">
        <v>36837.466999999997</v>
      </c>
      <c r="H21" s="1" t="str">
        <f>IF(A21&lt;31,"18-30",IF(A21&lt;46,"31-45",IF(A21&lt;61,"46-60","60+")))</f>
        <v>18-30</v>
      </c>
      <c r="I21" t="str">
        <f>IF(C21&lt;18.5,"Underweight",IF(C21&lt;25,"Normal",IF(C21&lt;30,"Overweight","Obese")))</f>
        <v>Obese</v>
      </c>
      <c r="J21">
        <f>IF(E21="yes",1,0)</f>
        <v>1</v>
      </c>
      <c r="K21" t="str">
        <f>IF(G21&gt;15000,"High","Low")</f>
        <v>High</v>
      </c>
    </row>
    <row r="22" spans="1:11" x14ac:dyDescent="0.35">
      <c r="A22">
        <v>60</v>
      </c>
      <c r="B22" t="s">
        <v>2</v>
      </c>
      <c r="C22">
        <v>36.005000000000003</v>
      </c>
      <c r="D22">
        <v>0</v>
      </c>
      <c r="E22" t="s">
        <v>4</v>
      </c>
      <c r="F22" t="s">
        <v>6</v>
      </c>
      <c r="G22" s="2">
        <v>13228.846949999999</v>
      </c>
      <c r="H22" s="1" t="str">
        <f>IF(A22&lt;31,"18-30",IF(A22&lt;46,"31-45",IF(A22&lt;61,"46-60","60+")))</f>
        <v>46-60</v>
      </c>
      <c r="I22" t="str">
        <f>IF(C22&lt;18.5,"Underweight",IF(C22&lt;25,"Normal",IF(C22&lt;30,"Overweight","Obese")))</f>
        <v>Obese</v>
      </c>
      <c r="J22">
        <f>IF(E22="yes",1,0)</f>
        <v>0</v>
      </c>
      <c r="K22" t="str">
        <f>IF(G22&gt;15000,"High","Low")</f>
        <v>Low</v>
      </c>
    </row>
    <row r="23" spans="1:11" x14ac:dyDescent="0.35">
      <c r="A23">
        <v>30</v>
      </c>
      <c r="B23" t="s">
        <v>2</v>
      </c>
      <c r="C23">
        <v>32.4</v>
      </c>
      <c r="D23">
        <v>1</v>
      </c>
      <c r="E23" t="s">
        <v>4</v>
      </c>
      <c r="F23" t="s">
        <v>3</v>
      </c>
      <c r="G23" s="2">
        <v>4149.7359999999999</v>
      </c>
      <c r="H23" s="1" t="str">
        <f>IF(A23&lt;31,"18-30",IF(A23&lt;46,"31-45",IF(A23&lt;61,"46-60","60+")))</f>
        <v>18-30</v>
      </c>
      <c r="I23" t="str">
        <f>IF(C23&lt;18.5,"Underweight",IF(C23&lt;25,"Normal",IF(C23&lt;30,"Overweight","Obese")))</f>
        <v>Obese</v>
      </c>
      <c r="J23">
        <f>IF(E23="yes",1,0)</f>
        <v>0</v>
      </c>
      <c r="K23" t="str">
        <f>IF(G23&gt;15000,"High","Low")</f>
        <v>Low</v>
      </c>
    </row>
    <row r="24" spans="1:11" x14ac:dyDescent="0.35">
      <c r="A24">
        <v>18</v>
      </c>
      <c r="B24" t="s">
        <v>7</v>
      </c>
      <c r="C24">
        <v>34.1</v>
      </c>
      <c r="D24">
        <v>0</v>
      </c>
      <c r="E24" t="s">
        <v>4</v>
      </c>
      <c r="F24" t="s">
        <v>5</v>
      </c>
      <c r="G24" s="2">
        <v>1137.011</v>
      </c>
      <c r="H24" s="1" t="str">
        <f>IF(A24&lt;31,"18-30",IF(A24&lt;46,"31-45",IF(A24&lt;61,"46-60","60+")))</f>
        <v>18-30</v>
      </c>
      <c r="I24" t="str">
        <f>IF(C24&lt;18.5,"Underweight",IF(C24&lt;25,"Normal",IF(C24&lt;30,"Overweight","Obese")))</f>
        <v>Obese</v>
      </c>
      <c r="J24">
        <f>IF(E24="yes",1,0)</f>
        <v>0</v>
      </c>
      <c r="K24" t="str">
        <f>IF(G24&gt;15000,"High","Low")</f>
        <v>Low</v>
      </c>
    </row>
    <row r="25" spans="1:11" x14ac:dyDescent="0.35">
      <c r="A25">
        <v>34</v>
      </c>
      <c r="B25" t="s">
        <v>2</v>
      </c>
      <c r="C25">
        <v>31.92</v>
      </c>
      <c r="D25">
        <v>1</v>
      </c>
      <c r="E25" t="s">
        <v>1</v>
      </c>
      <c r="F25" t="s">
        <v>6</v>
      </c>
      <c r="G25" s="2">
        <v>37701.876799999998</v>
      </c>
      <c r="H25" s="1" t="str">
        <f>IF(A25&lt;31,"18-30",IF(A25&lt;46,"31-45",IF(A25&lt;61,"46-60","60+")))</f>
        <v>31-45</v>
      </c>
      <c r="I25" t="str">
        <f>IF(C25&lt;18.5,"Underweight",IF(C25&lt;25,"Normal",IF(C25&lt;30,"Overweight","Obese")))</f>
        <v>Obese</v>
      </c>
      <c r="J25">
        <f>IF(E25="yes",1,0)</f>
        <v>1</v>
      </c>
      <c r="K25" t="str">
        <f>IF(G25&gt;15000,"High","Low")</f>
        <v>High</v>
      </c>
    </row>
    <row r="26" spans="1:11" x14ac:dyDescent="0.35">
      <c r="A26">
        <v>37</v>
      </c>
      <c r="B26" t="s">
        <v>7</v>
      </c>
      <c r="C26">
        <v>28.024999999999999</v>
      </c>
      <c r="D26">
        <v>2</v>
      </c>
      <c r="E26" t="s">
        <v>4</v>
      </c>
      <c r="F26" t="s">
        <v>0</v>
      </c>
      <c r="G26" s="2">
        <v>6203.90175</v>
      </c>
      <c r="H26" s="1" t="str">
        <f>IF(A26&lt;31,"18-30",IF(A26&lt;46,"31-45",IF(A26&lt;61,"46-60","60+")))</f>
        <v>31-45</v>
      </c>
      <c r="I26" t="str">
        <f>IF(C26&lt;18.5,"Underweight",IF(C26&lt;25,"Normal",IF(C26&lt;30,"Overweight","Obese")))</f>
        <v>Overweight</v>
      </c>
      <c r="J26">
        <f>IF(E26="yes",1,0)</f>
        <v>0</v>
      </c>
      <c r="K26" t="str">
        <f>IF(G26&gt;15000,"High","Low")</f>
        <v>Low</v>
      </c>
    </row>
    <row r="27" spans="1:11" x14ac:dyDescent="0.35">
      <c r="A27">
        <v>59</v>
      </c>
      <c r="B27" t="s">
        <v>2</v>
      </c>
      <c r="C27">
        <v>27.72</v>
      </c>
      <c r="D27">
        <v>3</v>
      </c>
      <c r="E27" t="s">
        <v>4</v>
      </c>
      <c r="F27" t="s">
        <v>5</v>
      </c>
      <c r="G27" s="2">
        <v>14001.1338</v>
      </c>
      <c r="H27" s="1" t="str">
        <f>IF(A27&lt;31,"18-30",IF(A27&lt;46,"31-45",IF(A27&lt;61,"46-60","60+")))</f>
        <v>46-60</v>
      </c>
      <c r="I27" t="str">
        <f>IF(C27&lt;18.5,"Underweight",IF(C27&lt;25,"Normal",IF(C27&lt;30,"Overweight","Obese")))</f>
        <v>Overweight</v>
      </c>
      <c r="J27">
        <f>IF(E27="yes",1,0)</f>
        <v>0</v>
      </c>
      <c r="K27" t="str">
        <f>IF(G27&gt;15000,"High","Low")</f>
        <v>Low</v>
      </c>
    </row>
    <row r="28" spans="1:11" x14ac:dyDescent="0.35">
      <c r="A28">
        <v>63</v>
      </c>
      <c r="B28" t="s">
        <v>2</v>
      </c>
      <c r="C28">
        <v>23.085000000000001</v>
      </c>
      <c r="D28">
        <v>0</v>
      </c>
      <c r="E28" t="s">
        <v>4</v>
      </c>
      <c r="F28" t="s">
        <v>6</v>
      </c>
      <c r="G28" s="2">
        <v>14451.835150000001</v>
      </c>
      <c r="H28" s="1" t="str">
        <f>IF(A28&lt;31,"18-30",IF(A28&lt;46,"31-45",IF(A28&lt;61,"46-60","60+")))</f>
        <v>60+</v>
      </c>
      <c r="I28" t="str">
        <f>IF(C28&lt;18.5,"Underweight",IF(C28&lt;25,"Normal",IF(C28&lt;30,"Overweight","Obese")))</f>
        <v>Normal</v>
      </c>
      <c r="J28">
        <f>IF(E28="yes",1,0)</f>
        <v>0</v>
      </c>
      <c r="K28" t="str">
        <f>IF(G28&gt;15000,"High","Low")</f>
        <v>Low</v>
      </c>
    </row>
    <row r="29" spans="1:11" x14ac:dyDescent="0.35">
      <c r="A29">
        <v>55</v>
      </c>
      <c r="B29" t="s">
        <v>2</v>
      </c>
      <c r="C29">
        <v>32.774999999999999</v>
      </c>
      <c r="D29">
        <v>2</v>
      </c>
      <c r="E29" t="s">
        <v>4</v>
      </c>
      <c r="F29" t="s">
        <v>0</v>
      </c>
      <c r="G29" s="2">
        <v>12268.632250000001</v>
      </c>
      <c r="H29" s="1" t="str">
        <f>IF(A29&lt;31,"18-30",IF(A29&lt;46,"31-45",IF(A29&lt;61,"46-60","60+")))</f>
        <v>46-60</v>
      </c>
      <c r="I29" t="str">
        <f>IF(C29&lt;18.5,"Underweight",IF(C29&lt;25,"Normal",IF(C29&lt;30,"Overweight","Obese")))</f>
        <v>Obese</v>
      </c>
      <c r="J29">
        <f>IF(E29="yes",1,0)</f>
        <v>0</v>
      </c>
      <c r="K29" t="str">
        <f>IF(G29&gt;15000,"High","Low")</f>
        <v>Low</v>
      </c>
    </row>
    <row r="30" spans="1:11" x14ac:dyDescent="0.35">
      <c r="A30">
        <v>23</v>
      </c>
      <c r="B30" t="s">
        <v>7</v>
      </c>
      <c r="C30">
        <v>17.385000000000002</v>
      </c>
      <c r="D30">
        <v>1</v>
      </c>
      <c r="E30" t="s">
        <v>4</v>
      </c>
      <c r="F30" t="s">
        <v>0</v>
      </c>
      <c r="G30" s="2">
        <v>2775.1921499999999</v>
      </c>
      <c r="H30" s="1" t="str">
        <f>IF(A30&lt;31,"18-30",IF(A30&lt;46,"31-45",IF(A30&lt;61,"46-60","60+")))</f>
        <v>18-30</v>
      </c>
      <c r="I30" t="str">
        <f>IF(C30&lt;18.5,"Underweight",IF(C30&lt;25,"Normal",IF(C30&lt;30,"Overweight","Obese")))</f>
        <v>Underweight</v>
      </c>
      <c r="J30">
        <f>IF(E30="yes",1,0)</f>
        <v>0</v>
      </c>
      <c r="K30" t="str">
        <f>IF(G30&gt;15000,"High","Low")</f>
        <v>Low</v>
      </c>
    </row>
    <row r="31" spans="1:11" x14ac:dyDescent="0.35">
      <c r="A31">
        <v>31</v>
      </c>
      <c r="B31" t="s">
        <v>7</v>
      </c>
      <c r="C31">
        <v>36.299999999999997</v>
      </c>
      <c r="D31">
        <v>2</v>
      </c>
      <c r="E31" t="s">
        <v>1</v>
      </c>
      <c r="F31" t="s">
        <v>3</v>
      </c>
      <c r="G31" s="2">
        <v>38711</v>
      </c>
      <c r="H31" s="1" t="str">
        <f>IF(A31&lt;31,"18-30",IF(A31&lt;46,"31-45",IF(A31&lt;61,"46-60","60+")))</f>
        <v>31-45</v>
      </c>
      <c r="I31" t="str">
        <f>IF(C31&lt;18.5,"Underweight",IF(C31&lt;25,"Normal",IF(C31&lt;30,"Overweight","Obese")))</f>
        <v>Obese</v>
      </c>
      <c r="J31">
        <f>IF(E31="yes",1,0)</f>
        <v>1</v>
      </c>
      <c r="K31" t="str">
        <f>IF(G31&gt;15000,"High","Low")</f>
        <v>High</v>
      </c>
    </row>
    <row r="32" spans="1:11" x14ac:dyDescent="0.35">
      <c r="A32">
        <v>22</v>
      </c>
      <c r="B32" t="s">
        <v>7</v>
      </c>
      <c r="C32">
        <v>35.6</v>
      </c>
      <c r="D32">
        <v>0</v>
      </c>
      <c r="E32" t="s">
        <v>1</v>
      </c>
      <c r="F32" t="s">
        <v>3</v>
      </c>
      <c r="G32" s="2">
        <v>35585.576000000001</v>
      </c>
      <c r="H32" s="1" t="str">
        <f>IF(A32&lt;31,"18-30",IF(A32&lt;46,"31-45",IF(A32&lt;61,"46-60","60+")))</f>
        <v>18-30</v>
      </c>
      <c r="I32" t="str">
        <f>IF(C32&lt;18.5,"Underweight",IF(C32&lt;25,"Normal",IF(C32&lt;30,"Overweight","Obese")))</f>
        <v>Obese</v>
      </c>
      <c r="J32">
        <f>IF(E32="yes",1,0)</f>
        <v>1</v>
      </c>
      <c r="K32" t="str">
        <f>IF(G32&gt;15000,"High","Low")</f>
        <v>High</v>
      </c>
    </row>
    <row r="33" spans="1:11" x14ac:dyDescent="0.35">
      <c r="A33">
        <v>18</v>
      </c>
      <c r="B33" t="s">
        <v>2</v>
      </c>
      <c r="C33">
        <v>26.315000000000001</v>
      </c>
      <c r="D33">
        <v>0</v>
      </c>
      <c r="E33" t="s">
        <v>4</v>
      </c>
      <c r="F33" t="s">
        <v>6</v>
      </c>
      <c r="G33" s="2">
        <v>2198.1898500000002</v>
      </c>
      <c r="H33" s="1" t="str">
        <f>IF(A33&lt;31,"18-30",IF(A33&lt;46,"31-45",IF(A33&lt;61,"46-60","60+")))</f>
        <v>18-30</v>
      </c>
      <c r="I33" t="str">
        <f>IF(C33&lt;18.5,"Underweight",IF(C33&lt;25,"Normal",IF(C33&lt;30,"Overweight","Obese")))</f>
        <v>Overweight</v>
      </c>
      <c r="J33">
        <f>IF(E33="yes",1,0)</f>
        <v>0</v>
      </c>
      <c r="K33" t="str">
        <f>IF(G33&gt;15000,"High","Low")</f>
        <v>Low</v>
      </c>
    </row>
    <row r="34" spans="1:11" x14ac:dyDescent="0.35">
      <c r="A34">
        <v>19</v>
      </c>
      <c r="B34" t="s">
        <v>2</v>
      </c>
      <c r="C34">
        <v>28.6</v>
      </c>
      <c r="D34">
        <v>5</v>
      </c>
      <c r="E34" t="s">
        <v>4</v>
      </c>
      <c r="F34" t="s">
        <v>3</v>
      </c>
      <c r="G34" s="2">
        <v>4687.7969999999996</v>
      </c>
      <c r="H34" s="1" t="str">
        <f>IF(A34&lt;31,"18-30",IF(A34&lt;46,"31-45",IF(A34&lt;61,"46-60","60+")))</f>
        <v>18-30</v>
      </c>
      <c r="I34" t="str">
        <f>IF(C34&lt;18.5,"Underweight",IF(C34&lt;25,"Normal",IF(C34&lt;30,"Overweight","Obese")))</f>
        <v>Overweight</v>
      </c>
      <c r="J34">
        <f>IF(E34="yes",1,0)</f>
        <v>0</v>
      </c>
      <c r="K34" t="str">
        <f>IF(G34&gt;15000,"High","Low")</f>
        <v>Low</v>
      </c>
    </row>
    <row r="35" spans="1:11" x14ac:dyDescent="0.35">
      <c r="A35">
        <v>63</v>
      </c>
      <c r="B35" t="s">
        <v>7</v>
      </c>
      <c r="C35">
        <v>28.31</v>
      </c>
      <c r="D35">
        <v>0</v>
      </c>
      <c r="E35" t="s">
        <v>4</v>
      </c>
      <c r="F35" t="s">
        <v>0</v>
      </c>
      <c r="G35" s="2">
        <v>13770.097900000001</v>
      </c>
      <c r="H35" s="1" t="str">
        <f>IF(A35&lt;31,"18-30",IF(A35&lt;46,"31-45",IF(A35&lt;61,"46-60","60+")))</f>
        <v>60+</v>
      </c>
      <c r="I35" t="str">
        <f>IF(C35&lt;18.5,"Underweight",IF(C35&lt;25,"Normal",IF(C35&lt;30,"Overweight","Obese")))</f>
        <v>Overweight</v>
      </c>
      <c r="J35">
        <f>IF(E35="yes",1,0)</f>
        <v>0</v>
      </c>
      <c r="K35" t="str">
        <f>IF(G35&gt;15000,"High","Low")</f>
        <v>Low</v>
      </c>
    </row>
    <row r="36" spans="1:11" x14ac:dyDescent="0.35">
      <c r="A36">
        <v>28</v>
      </c>
      <c r="B36" t="s">
        <v>7</v>
      </c>
      <c r="C36">
        <v>36.4</v>
      </c>
      <c r="D36">
        <v>1</v>
      </c>
      <c r="E36" t="s">
        <v>1</v>
      </c>
      <c r="F36" t="s">
        <v>3</v>
      </c>
      <c r="G36" s="2">
        <v>51194.559139999998</v>
      </c>
      <c r="H36" s="1" t="str">
        <f>IF(A36&lt;31,"18-30",IF(A36&lt;46,"31-45",IF(A36&lt;61,"46-60","60+")))</f>
        <v>18-30</v>
      </c>
      <c r="I36" t="str">
        <f>IF(C36&lt;18.5,"Underweight",IF(C36&lt;25,"Normal",IF(C36&lt;30,"Overweight","Obese")))</f>
        <v>Obese</v>
      </c>
      <c r="J36">
        <f>IF(E36="yes",1,0)</f>
        <v>1</v>
      </c>
      <c r="K36" t="str">
        <f>IF(G36&gt;15000,"High","Low")</f>
        <v>High</v>
      </c>
    </row>
    <row r="37" spans="1:11" x14ac:dyDescent="0.35">
      <c r="A37">
        <v>19</v>
      </c>
      <c r="B37" t="s">
        <v>7</v>
      </c>
      <c r="C37">
        <v>20.425000000000001</v>
      </c>
      <c r="D37">
        <v>0</v>
      </c>
      <c r="E37" t="s">
        <v>4</v>
      </c>
      <c r="F37" t="s">
        <v>0</v>
      </c>
      <c r="G37" s="2">
        <v>1625.4337499999999</v>
      </c>
      <c r="H37" s="1" t="str">
        <f>IF(A37&lt;31,"18-30",IF(A37&lt;46,"31-45",IF(A37&lt;61,"46-60","60+")))</f>
        <v>18-30</v>
      </c>
      <c r="I37" t="str">
        <f>IF(C37&lt;18.5,"Underweight",IF(C37&lt;25,"Normal",IF(C37&lt;30,"Overweight","Obese")))</f>
        <v>Normal</v>
      </c>
      <c r="J37">
        <f>IF(E37="yes",1,0)</f>
        <v>0</v>
      </c>
      <c r="K37" t="str">
        <f>IF(G37&gt;15000,"High","Low")</f>
        <v>Low</v>
      </c>
    </row>
    <row r="38" spans="1:11" x14ac:dyDescent="0.35">
      <c r="A38">
        <v>62</v>
      </c>
      <c r="B38" t="s">
        <v>2</v>
      </c>
      <c r="C38">
        <v>32.965000000000003</v>
      </c>
      <c r="D38">
        <v>3</v>
      </c>
      <c r="E38" t="s">
        <v>4</v>
      </c>
      <c r="F38" t="s">
        <v>0</v>
      </c>
      <c r="G38" s="2">
        <v>15612.19335</v>
      </c>
      <c r="H38" s="1" t="str">
        <f>IF(A38&lt;31,"18-30",IF(A38&lt;46,"31-45",IF(A38&lt;61,"46-60","60+")))</f>
        <v>60+</v>
      </c>
      <c r="I38" t="str">
        <f>IF(C38&lt;18.5,"Underweight",IF(C38&lt;25,"Normal",IF(C38&lt;30,"Overweight","Obese")))</f>
        <v>Obese</v>
      </c>
      <c r="J38">
        <f>IF(E38="yes",1,0)</f>
        <v>0</v>
      </c>
      <c r="K38" t="str">
        <f>IF(G38&gt;15000,"High","Low")</f>
        <v>High</v>
      </c>
    </row>
    <row r="39" spans="1:11" x14ac:dyDescent="0.35">
      <c r="A39">
        <v>26</v>
      </c>
      <c r="B39" t="s">
        <v>7</v>
      </c>
      <c r="C39">
        <v>20.8</v>
      </c>
      <c r="D39">
        <v>0</v>
      </c>
      <c r="E39" t="s">
        <v>4</v>
      </c>
      <c r="F39" t="s">
        <v>3</v>
      </c>
      <c r="G39" s="2">
        <v>2302.3000000000002</v>
      </c>
      <c r="H39" s="1" t="str">
        <f>IF(A39&lt;31,"18-30",IF(A39&lt;46,"31-45",IF(A39&lt;61,"46-60","60+")))</f>
        <v>18-30</v>
      </c>
      <c r="I39" t="str">
        <f>IF(C39&lt;18.5,"Underweight",IF(C39&lt;25,"Normal",IF(C39&lt;30,"Overweight","Obese")))</f>
        <v>Normal</v>
      </c>
      <c r="J39">
        <f>IF(E39="yes",1,0)</f>
        <v>0</v>
      </c>
      <c r="K39" t="str">
        <f>IF(G39&gt;15000,"High","Low")</f>
        <v>Low</v>
      </c>
    </row>
    <row r="40" spans="1:11" x14ac:dyDescent="0.35">
      <c r="A40">
        <v>35</v>
      </c>
      <c r="B40" t="s">
        <v>7</v>
      </c>
      <c r="C40">
        <v>36.67</v>
      </c>
      <c r="D40">
        <v>1</v>
      </c>
      <c r="E40" t="s">
        <v>1</v>
      </c>
      <c r="F40" t="s">
        <v>6</v>
      </c>
      <c r="G40" s="2">
        <v>39774.276299999998</v>
      </c>
      <c r="H40" s="1" t="str">
        <f>IF(A40&lt;31,"18-30",IF(A40&lt;46,"31-45",IF(A40&lt;61,"46-60","60+")))</f>
        <v>31-45</v>
      </c>
      <c r="I40" t="str">
        <f>IF(C40&lt;18.5,"Underweight",IF(C40&lt;25,"Normal",IF(C40&lt;30,"Overweight","Obese")))</f>
        <v>Obese</v>
      </c>
      <c r="J40">
        <f>IF(E40="yes",1,0)</f>
        <v>1</v>
      </c>
      <c r="K40" t="str">
        <f>IF(G40&gt;15000,"High","Low")</f>
        <v>High</v>
      </c>
    </row>
    <row r="41" spans="1:11" x14ac:dyDescent="0.35">
      <c r="A41">
        <v>60</v>
      </c>
      <c r="B41" t="s">
        <v>7</v>
      </c>
      <c r="C41">
        <v>39.9</v>
      </c>
      <c r="D41">
        <v>0</v>
      </c>
      <c r="E41" t="s">
        <v>1</v>
      </c>
      <c r="F41" t="s">
        <v>3</v>
      </c>
      <c r="G41" s="2">
        <v>48173.360999999997</v>
      </c>
      <c r="H41" s="1" t="str">
        <f>IF(A41&lt;31,"18-30",IF(A41&lt;46,"31-45",IF(A41&lt;61,"46-60","60+")))</f>
        <v>46-60</v>
      </c>
      <c r="I41" t="str">
        <f>IF(C41&lt;18.5,"Underweight",IF(C41&lt;25,"Normal",IF(C41&lt;30,"Overweight","Obese")))</f>
        <v>Obese</v>
      </c>
      <c r="J41">
        <f>IF(E41="yes",1,0)</f>
        <v>1</v>
      </c>
      <c r="K41" t="str">
        <f>IF(G41&gt;15000,"High","Low")</f>
        <v>High</v>
      </c>
    </row>
    <row r="42" spans="1:11" x14ac:dyDescent="0.35">
      <c r="A42">
        <v>24</v>
      </c>
      <c r="B42" t="s">
        <v>2</v>
      </c>
      <c r="C42">
        <v>26.6</v>
      </c>
      <c r="D42">
        <v>0</v>
      </c>
      <c r="E42" t="s">
        <v>4</v>
      </c>
      <c r="F42" t="s">
        <v>6</v>
      </c>
      <c r="G42" s="2">
        <v>3046.0619999999999</v>
      </c>
      <c r="H42" s="1" t="str">
        <f>IF(A42&lt;31,"18-30",IF(A42&lt;46,"31-45",IF(A42&lt;61,"46-60","60+")))</f>
        <v>18-30</v>
      </c>
      <c r="I42" t="str">
        <f>IF(C42&lt;18.5,"Underweight",IF(C42&lt;25,"Normal",IF(C42&lt;30,"Overweight","Obese")))</f>
        <v>Overweight</v>
      </c>
      <c r="J42">
        <f>IF(E42="yes",1,0)</f>
        <v>0</v>
      </c>
      <c r="K42" t="str">
        <f>IF(G42&gt;15000,"High","Low")</f>
        <v>Low</v>
      </c>
    </row>
    <row r="43" spans="1:11" x14ac:dyDescent="0.35">
      <c r="A43">
        <v>31</v>
      </c>
      <c r="B43" t="s">
        <v>2</v>
      </c>
      <c r="C43">
        <v>36.630000000000003</v>
      </c>
      <c r="D43">
        <v>2</v>
      </c>
      <c r="E43" t="s">
        <v>4</v>
      </c>
      <c r="F43" t="s">
        <v>5</v>
      </c>
      <c r="G43" s="2">
        <v>4949.7587000000003</v>
      </c>
      <c r="H43" s="1" t="str">
        <f>IF(A43&lt;31,"18-30",IF(A43&lt;46,"31-45",IF(A43&lt;61,"46-60","60+")))</f>
        <v>31-45</v>
      </c>
      <c r="I43" t="str">
        <f>IF(C43&lt;18.5,"Underweight",IF(C43&lt;25,"Normal",IF(C43&lt;30,"Overweight","Obese")))</f>
        <v>Obese</v>
      </c>
      <c r="J43">
        <f>IF(E43="yes",1,0)</f>
        <v>0</v>
      </c>
      <c r="K43" t="str">
        <f>IF(G43&gt;15000,"High","Low")</f>
        <v>Low</v>
      </c>
    </row>
    <row r="44" spans="1:11" x14ac:dyDescent="0.35">
      <c r="A44">
        <v>41</v>
      </c>
      <c r="B44" t="s">
        <v>7</v>
      </c>
      <c r="C44">
        <v>21.78</v>
      </c>
      <c r="D44">
        <v>1</v>
      </c>
      <c r="E44" t="s">
        <v>4</v>
      </c>
      <c r="F44" t="s">
        <v>5</v>
      </c>
      <c r="G44" s="2">
        <v>6272.4772000000003</v>
      </c>
      <c r="H44" s="1" t="str">
        <f>IF(A44&lt;31,"18-30",IF(A44&lt;46,"31-45",IF(A44&lt;61,"46-60","60+")))</f>
        <v>31-45</v>
      </c>
      <c r="I44" t="str">
        <f>IF(C44&lt;18.5,"Underweight",IF(C44&lt;25,"Normal",IF(C44&lt;30,"Overweight","Obese")))</f>
        <v>Normal</v>
      </c>
      <c r="J44">
        <f>IF(E44="yes",1,0)</f>
        <v>0</v>
      </c>
      <c r="K44" t="str">
        <f>IF(G44&gt;15000,"High","Low")</f>
        <v>Low</v>
      </c>
    </row>
    <row r="45" spans="1:11" x14ac:dyDescent="0.35">
      <c r="A45">
        <v>37</v>
      </c>
      <c r="B45" t="s">
        <v>2</v>
      </c>
      <c r="C45">
        <v>30.8</v>
      </c>
      <c r="D45">
        <v>2</v>
      </c>
      <c r="E45" t="s">
        <v>4</v>
      </c>
      <c r="F45" t="s">
        <v>5</v>
      </c>
      <c r="G45" s="2">
        <v>6313.759</v>
      </c>
      <c r="H45" s="1" t="str">
        <f>IF(A45&lt;31,"18-30",IF(A45&lt;46,"31-45",IF(A45&lt;61,"46-60","60+")))</f>
        <v>31-45</v>
      </c>
      <c r="I45" t="str">
        <f>IF(C45&lt;18.5,"Underweight",IF(C45&lt;25,"Normal",IF(C45&lt;30,"Overweight","Obese")))</f>
        <v>Obese</v>
      </c>
      <c r="J45">
        <f>IF(E45="yes",1,0)</f>
        <v>0</v>
      </c>
      <c r="K45" t="str">
        <f>IF(G45&gt;15000,"High","Low")</f>
        <v>Low</v>
      </c>
    </row>
    <row r="46" spans="1:11" x14ac:dyDescent="0.35">
      <c r="A46">
        <v>38</v>
      </c>
      <c r="B46" t="s">
        <v>7</v>
      </c>
      <c r="C46">
        <v>37.049999999999997</v>
      </c>
      <c r="D46">
        <v>1</v>
      </c>
      <c r="E46" t="s">
        <v>4</v>
      </c>
      <c r="F46" t="s">
        <v>6</v>
      </c>
      <c r="G46" s="2">
        <v>6079.6715000000004</v>
      </c>
      <c r="H46" s="1" t="str">
        <f>IF(A46&lt;31,"18-30",IF(A46&lt;46,"31-45",IF(A46&lt;61,"46-60","60+")))</f>
        <v>31-45</v>
      </c>
      <c r="I46" t="str">
        <f>IF(C46&lt;18.5,"Underweight",IF(C46&lt;25,"Normal",IF(C46&lt;30,"Overweight","Obese")))</f>
        <v>Obese</v>
      </c>
      <c r="J46">
        <f>IF(E46="yes",1,0)</f>
        <v>0</v>
      </c>
      <c r="K46" t="str">
        <f>IF(G46&gt;15000,"High","Low")</f>
        <v>Low</v>
      </c>
    </row>
    <row r="47" spans="1:11" x14ac:dyDescent="0.35">
      <c r="A47">
        <v>55</v>
      </c>
      <c r="B47" t="s">
        <v>7</v>
      </c>
      <c r="C47">
        <v>37.299999999999997</v>
      </c>
      <c r="D47">
        <v>0</v>
      </c>
      <c r="E47" t="s">
        <v>4</v>
      </c>
      <c r="F47" t="s">
        <v>3</v>
      </c>
      <c r="G47" s="2">
        <v>20630.283510000001</v>
      </c>
      <c r="H47" s="1" t="str">
        <f>IF(A47&lt;31,"18-30",IF(A47&lt;46,"31-45",IF(A47&lt;61,"46-60","60+")))</f>
        <v>46-60</v>
      </c>
      <c r="I47" t="str">
        <f>IF(C47&lt;18.5,"Underweight",IF(C47&lt;25,"Normal",IF(C47&lt;30,"Overweight","Obese")))</f>
        <v>Obese</v>
      </c>
      <c r="J47">
        <f>IF(E47="yes",1,0)</f>
        <v>0</v>
      </c>
      <c r="K47" t="str">
        <f>IF(G47&gt;15000,"High","Low")</f>
        <v>High</v>
      </c>
    </row>
    <row r="48" spans="1:11" x14ac:dyDescent="0.35">
      <c r="A48">
        <v>18</v>
      </c>
      <c r="B48" t="s">
        <v>2</v>
      </c>
      <c r="C48">
        <v>38.664999999999999</v>
      </c>
      <c r="D48">
        <v>2</v>
      </c>
      <c r="E48" t="s">
        <v>4</v>
      </c>
      <c r="F48" t="s">
        <v>6</v>
      </c>
      <c r="G48" s="2">
        <v>3393.35635</v>
      </c>
      <c r="H48" s="1" t="str">
        <f>IF(A48&lt;31,"18-30",IF(A48&lt;46,"31-45",IF(A48&lt;61,"46-60","60+")))</f>
        <v>18-30</v>
      </c>
      <c r="I48" t="str">
        <f>IF(C48&lt;18.5,"Underweight",IF(C48&lt;25,"Normal",IF(C48&lt;30,"Overweight","Obese")))</f>
        <v>Obese</v>
      </c>
      <c r="J48">
        <f>IF(E48="yes",1,0)</f>
        <v>0</v>
      </c>
      <c r="K48" t="str">
        <f>IF(G48&gt;15000,"High","Low")</f>
        <v>Low</v>
      </c>
    </row>
    <row r="49" spans="1:11" x14ac:dyDescent="0.35">
      <c r="A49">
        <v>28</v>
      </c>
      <c r="B49" t="s">
        <v>2</v>
      </c>
      <c r="C49">
        <v>34.770000000000003</v>
      </c>
      <c r="D49">
        <v>0</v>
      </c>
      <c r="E49" t="s">
        <v>4</v>
      </c>
      <c r="F49" t="s">
        <v>0</v>
      </c>
      <c r="G49" s="2">
        <v>3556.9223000000002</v>
      </c>
      <c r="H49" s="1" t="str">
        <f>IF(A49&lt;31,"18-30",IF(A49&lt;46,"31-45",IF(A49&lt;61,"46-60","60+")))</f>
        <v>18-30</v>
      </c>
      <c r="I49" t="str">
        <f>IF(C49&lt;18.5,"Underweight",IF(C49&lt;25,"Normal",IF(C49&lt;30,"Overweight","Obese")))</f>
        <v>Obese</v>
      </c>
      <c r="J49">
        <f>IF(E49="yes",1,0)</f>
        <v>0</v>
      </c>
      <c r="K49" t="str">
        <f>IF(G49&gt;15000,"High","Low")</f>
        <v>Low</v>
      </c>
    </row>
    <row r="50" spans="1:11" x14ac:dyDescent="0.35">
      <c r="A50">
        <v>60</v>
      </c>
      <c r="B50" t="s">
        <v>2</v>
      </c>
      <c r="C50">
        <v>24.53</v>
      </c>
      <c r="D50">
        <v>0</v>
      </c>
      <c r="E50" t="s">
        <v>4</v>
      </c>
      <c r="F50" t="s">
        <v>5</v>
      </c>
      <c r="G50" s="2">
        <v>12629.896699999999</v>
      </c>
      <c r="H50" s="1" t="str">
        <f>IF(A50&lt;31,"18-30",IF(A50&lt;46,"31-45",IF(A50&lt;61,"46-60","60+")))</f>
        <v>46-60</v>
      </c>
      <c r="I50" t="str">
        <f>IF(C50&lt;18.5,"Underweight",IF(C50&lt;25,"Normal",IF(C50&lt;30,"Overweight","Obese")))</f>
        <v>Normal</v>
      </c>
      <c r="J50">
        <f>IF(E50="yes",1,0)</f>
        <v>0</v>
      </c>
      <c r="K50" t="str">
        <f>IF(G50&gt;15000,"High","Low")</f>
        <v>Low</v>
      </c>
    </row>
    <row r="51" spans="1:11" x14ac:dyDescent="0.35">
      <c r="A51">
        <v>36</v>
      </c>
      <c r="B51" t="s">
        <v>7</v>
      </c>
      <c r="C51">
        <v>35.200000000000003</v>
      </c>
      <c r="D51">
        <v>1</v>
      </c>
      <c r="E51" t="s">
        <v>1</v>
      </c>
      <c r="F51" t="s">
        <v>5</v>
      </c>
      <c r="G51" s="2">
        <v>38709.175999999999</v>
      </c>
      <c r="H51" s="1" t="str">
        <f>IF(A51&lt;31,"18-30",IF(A51&lt;46,"31-45",IF(A51&lt;61,"46-60","60+")))</f>
        <v>31-45</v>
      </c>
      <c r="I51" t="str">
        <f>IF(C51&lt;18.5,"Underweight",IF(C51&lt;25,"Normal",IF(C51&lt;30,"Overweight","Obese")))</f>
        <v>Obese</v>
      </c>
      <c r="J51">
        <f>IF(E51="yes",1,0)</f>
        <v>1</v>
      </c>
      <c r="K51" t="str">
        <f>IF(G51&gt;15000,"High","Low")</f>
        <v>High</v>
      </c>
    </row>
    <row r="52" spans="1:11" x14ac:dyDescent="0.35">
      <c r="A52">
        <v>18</v>
      </c>
      <c r="B52" t="s">
        <v>2</v>
      </c>
      <c r="C52">
        <v>35.625</v>
      </c>
      <c r="D52">
        <v>0</v>
      </c>
      <c r="E52" t="s">
        <v>4</v>
      </c>
      <c r="F52" t="s">
        <v>6</v>
      </c>
      <c r="G52" s="2">
        <v>2211.1307499999998</v>
      </c>
      <c r="H52" s="1" t="str">
        <f>IF(A52&lt;31,"18-30",IF(A52&lt;46,"31-45",IF(A52&lt;61,"46-60","60+")))</f>
        <v>18-30</v>
      </c>
      <c r="I52" t="str">
        <f>IF(C52&lt;18.5,"Underweight",IF(C52&lt;25,"Normal",IF(C52&lt;30,"Overweight","Obese")))</f>
        <v>Obese</v>
      </c>
      <c r="J52">
        <f>IF(E52="yes",1,0)</f>
        <v>0</v>
      </c>
      <c r="K52" t="str">
        <f>IF(G52&gt;15000,"High","Low")</f>
        <v>Low</v>
      </c>
    </row>
    <row r="53" spans="1:11" x14ac:dyDescent="0.35">
      <c r="A53">
        <v>21</v>
      </c>
      <c r="B53" t="s">
        <v>2</v>
      </c>
      <c r="C53">
        <v>33.630000000000003</v>
      </c>
      <c r="D53">
        <v>2</v>
      </c>
      <c r="E53" t="s">
        <v>4</v>
      </c>
      <c r="F53" t="s">
        <v>0</v>
      </c>
      <c r="G53" s="2">
        <v>3579.8287</v>
      </c>
      <c r="H53" s="1" t="str">
        <f>IF(A53&lt;31,"18-30",IF(A53&lt;46,"31-45",IF(A53&lt;61,"46-60","60+")))</f>
        <v>18-30</v>
      </c>
      <c r="I53" t="str">
        <f>IF(C53&lt;18.5,"Underweight",IF(C53&lt;25,"Normal",IF(C53&lt;30,"Overweight","Obese")))</f>
        <v>Obese</v>
      </c>
      <c r="J53">
        <f>IF(E53="yes",1,0)</f>
        <v>0</v>
      </c>
      <c r="K53" t="str">
        <f>IF(G53&gt;15000,"High","Low")</f>
        <v>Low</v>
      </c>
    </row>
    <row r="54" spans="1:11" x14ac:dyDescent="0.35">
      <c r="A54">
        <v>48</v>
      </c>
      <c r="B54" t="s">
        <v>7</v>
      </c>
      <c r="C54">
        <v>28</v>
      </c>
      <c r="D54">
        <v>1</v>
      </c>
      <c r="E54" t="s">
        <v>1</v>
      </c>
      <c r="F54" t="s">
        <v>3</v>
      </c>
      <c r="G54" s="2">
        <v>23568.272000000001</v>
      </c>
      <c r="H54" s="1" t="str">
        <f>IF(A54&lt;31,"18-30",IF(A54&lt;46,"31-45",IF(A54&lt;61,"46-60","60+")))</f>
        <v>46-60</v>
      </c>
      <c r="I54" t="str">
        <f>IF(C54&lt;18.5,"Underweight",IF(C54&lt;25,"Normal",IF(C54&lt;30,"Overweight","Obese")))</f>
        <v>Overweight</v>
      </c>
      <c r="J54">
        <f>IF(E54="yes",1,0)</f>
        <v>1</v>
      </c>
      <c r="K54" t="str">
        <f>IF(G54&gt;15000,"High","Low")</f>
        <v>High</v>
      </c>
    </row>
    <row r="55" spans="1:11" x14ac:dyDescent="0.35">
      <c r="A55">
        <v>36</v>
      </c>
      <c r="B55" t="s">
        <v>7</v>
      </c>
      <c r="C55">
        <v>34.43</v>
      </c>
      <c r="D55">
        <v>0</v>
      </c>
      <c r="E55" t="s">
        <v>1</v>
      </c>
      <c r="F55" t="s">
        <v>5</v>
      </c>
      <c r="G55" s="2">
        <v>37742.575700000001</v>
      </c>
      <c r="H55" s="1" t="str">
        <f>IF(A55&lt;31,"18-30",IF(A55&lt;46,"31-45",IF(A55&lt;61,"46-60","60+")))</f>
        <v>31-45</v>
      </c>
      <c r="I55" t="str">
        <f>IF(C55&lt;18.5,"Underweight",IF(C55&lt;25,"Normal",IF(C55&lt;30,"Overweight","Obese")))</f>
        <v>Obese</v>
      </c>
      <c r="J55">
        <f>IF(E55="yes",1,0)</f>
        <v>1</v>
      </c>
      <c r="K55" t="str">
        <f>IF(G55&gt;15000,"High","Low")</f>
        <v>High</v>
      </c>
    </row>
    <row r="56" spans="1:11" x14ac:dyDescent="0.35">
      <c r="A56">
        <v>40</v>
      </c>
      <c r="B56" t="s">
        <v>2</v>
      </c>
      <c r="C56">
        <v>28.69</v>
      </c>
      <c r="D56">
        <v>3</v>
      </c>
      <c r="E56" t="s">
        <v>4</v>
      </c>
      <c r="F56" t="s">
        <v>0</v>
      </c>
      <c r="G56" s="2">
        <v>8059.6791000000003</v>
      </c>
      <c r="H56" s="1" t="str">
        <f>IF(A56&lt;31,"18-30",IF(A56&lt;46,"31-45",IF(A56&lt;61,"46-60","60+")))</f>
        <v>31-45</v>
      </c>
      <c r="I56" t="str">
        <f>IF(C56&lt;18.5,"Underweight",IF(C56&lt;25,"Normal",IF(C56&lt;30,"Overweight","Obese")))</f>
        <v>Overweight</v>
      </c>
      <c r="J56">
        <f>IF(E56="yes",1,0)</f>
        <v>0</v>
      </c>
      <c r="K56" t="str">
        <f>IF(G56&gt;15000,"High","Low")</f>
        <v>Low</v>
      </c>
    </row>
    <row r="57" spans="1:11" x14ac:dyDescent="0.35">
      <c r="A57">
        <v>58</v>
      </c>
      <c r="B57" t="s">
        <v>7</v>
      </c>
      <c r="C57">
        <v>36.954999999999998</v>
      </c>
      <c r="D57">
        <v>2</v>
      </c>
      <c r="E57" t="s">
        <v>1</v>
      </c>
      <c r="F57" t="s">
        <v>0</v>
      </c>
      <c r="G57" s="2">
        <v>47496.494449999998</v>
      </c>
      <c r="H57" s="1" t="str">
        <f>IF(A57&lt;31,"18-30",IF(A57&lt;46,"31-45",IF(A57&lt;61,"46-60","60+")))</f>
        <v>46-60</v>
      </c>
      <c r="I57" t="str">
        <f>IF(C57&lt;18.5,"Underweight",IF(C57&lt;25,"Normal",IF(C57&lt;30,"Overweight","Obese")))</f>
        <v>Obese</v>
      </c>
      <c r="J57">
        <f>IF(E57="yes",1,0)</f>
        <v>1</v>
      </c>
      <c r="K57" t="str">
        <f>IF(G57&gt;15000,"High","Low")</f>
        <v>High</v>
      </c>
    </row>
    <row r="58" spans="1:11" x14ac:dyDescent="0.35">
      <c r="A58">
        <v>58</v>
      </c>
      <c r="B58" t="s">
        <v>2</v>
      </c>
      <c r="C58">
        <v>31.824999999999999</v>
      </c>
      <c r="D58">
        <v>2</v>
      </c>
      <c r="E58" t="s">
        <v>4</v>
      </c>
      <c r="F58" t="s">
        <v>6</v>
      </c>
      <c r="G58" s="2">
        <v>13607.36875</v>
      </c>
      <c r="H58" s="1" t="str">
        <f>IF(A58&lt;31,"18-30",IF(A58&lt;46,"31-45",IF(A58&lt;61,"46-60","60+")))</f>
        <v>46-60</v>
      </c>
      <c r="I58" t="str">
        <f>IF(C58&lt;18.5,"Underweight",IF(C58&lt;25,"Normal",IF(C58&lt;30,"Overweight","Obese")))</f>
        <v>Obese</v>
      </c>
      <c r="J58">
        <f>IF(E58="yes",1,0)</f>
        <v>0</v>
      </c>
      <c r="K58" t="str">
        <f>IF(G58&gt;15000,"High","Low")</f>
        <v>Low</v>
      </c>
    </row>
    <row r="59" spans="1:11" x14ac:dyDescent="0.35">
      <c r="A59">
        <v>18</v>
      </c>
      <c r="B59" t="s">
        <v>7</v>
      </c>
      <c r="C59">
        <v>31.68</v>
      </c>
      <c r="D59">
        <v>2</v>
      </c>
      <c r="E59" t="s">
        <v>1</v>
      </c>
      <c r="F59" t="s">
        <v>5</v>
      </c>
      <c r="G59" s="2">
        <v>34303.167200000004</v>
      </c>
      <c r="H59" s="1" t="str">
        <f>IF(A59&lt;31,"18-30",IF(A59&lt;46,"31-45",IF(A59&lt;61,"46-60","60+")))</f>
        <v>18-30</v>
      </c>
      <c r="I59" t="str">
        <f>IF(C59&lt;18.5,"Underweight",IF(C59&lt;25,"Normal",IF(C59&lt;30,"Overweight","Obese")))</f>
        <v>Obese</v>
      </c>
      <c r="J59">
        <f>IF(E59="yes",1,0)</f>
        <v>1</v>
      </c>
      <c r="K59" t="str">
        <f>IF(G59&gt;15000,"High","Low")</f>
        <v>High</v>
      </c>
    </row>
    <row r="60" spans="1:11" x14ac:dyDescent="0.35">
      <c r="A60">
        <v>53</v>
      </c>
      <c r="B60" t="s">
        <v>2</v>
      </c>
      <c r="C60">
        <v>22.88</v>
      </c>
      <c r="D60">
        <v>1</v>
      </c>
      <c r="E60" t="s">
        <v>1</v>
      </c>
      <c r="F60" t="s">
        <v>5</v>
      </c>
      <c r="G60" s="2">
        <v>23244.790199999999</v>
      </c>
      <c r="H60" s="1" t="str">
        <f>IF(A60&lt;31,"18-30",IF(A60&lt;46,"31-45",IF(A60&lt;61,"46-60","60+")))</f>
        <v>46-60</v>
      </c>
      <c r="I60" t="str">
        <f>IF(C60&lt;18.5,"Underweight",IF(C60&lt;25,"Normal",IF(C60&lt;30,"Overweight","Obese")))</f>
        <v>Normal</v>
      </c>
      <c r="J60">
        <f>IF(E60="yes",1,0)</f>
        <v>1</v>
      </c>
      <c r="K60" t="str">
        <f>IF(G60&gt;15000,"High","Low")</f>
        <v>High</v>
      </c>
    </row>
    <row r="61" spans="1:11" x14ac:dyDescent="0.35">
      <c r="A61">
        <v>34</v>
      </c>
      <c r="B61" t="s">
        <v>2</v>
      </c>
      <c r="C61">
        <v>37.335000000000001</v>
      </c>
      <c r="D61">
        <v>2</v>
      </c>
      <c r="E61" t="s">
        <v>4</v>
      </c>
      <c r="F61" t="s">
        <v>0</v>
      </c>
      <c r="G61" s="2">
        <v>5989.5236500000001</v>
      </c>
      <c r="H61" s="1" t="str">
        <f>IF(A61&lt;31,"18-30",IF(A61&lt;46,"31-45",IF(A61&lt;61,"46-60","60+")))</f>
        <v>31-45</v>
      </c>
      <c r="I61" t="str">
        <f>IF(C61&lt;18.5,"Underweight",IF(C61&lt;25,"Normal",IF(C61&lt;30,"Overweight","Obese")))</f>
        <v>Obese</v>
      </c>
      <c r="J61">
        <f>IF(E61="yes",1,0)</f>
        <v>0</v>
      </c>
      <c r="K61" t="str">
        <f>IF(G61&gt;15000,"High","Low")</f>
        <v>Low</v>
      </c>
    </row>
    <row r="62" spans="1:11" x14ac:dyDescent="0.35">
      <c r="A62">
        <v>43</v>
      </c>
      <c r="B62" t="s">
        <v>7</v>
      </c>
      <c r="C62">
        <v>27.36</v>
      </c>
      <c r="D62">
        <v>3</v>
      </c>
      <c r="E62" t="s">
        <v>4</v>
      </c>
      <c r="F62" t="s">
        <v>6</v>
      </c>
      <c r="G62" s="2">
        <v>8606.2173999999995</v>
      </c>
      <c r="H62" s="1" t="str">
        <f>IF(A62&lt;31,"18-30",IF(A62&lt;46,"31-45",IF(A62&lt;61,"46-60","60+")))</f>
        <v>31-45</v>
      </c>
      <c r="I62" t="str">
        <f>IF(C62&lt;18.5,"Underweight",IF(C62&lt;25,"Normal",IF(C62&lt;30,"Overweight","Obese")))</f>
        <v>Overweight</v>
      </c>
      <c r="J62">
        <f>IF(E62="yes",1,0)</f>
        <v>0</v>
      </c>
      <c r="K62" t="str">
        <f>IF(G62&gt;15000,"High","Low")</f>
        <v>Low</v>
      </c>
    </row>
    <row r="63" spans="1:11" x14ac:dyDescent="0.35">
      <c r="A63">
        <v>25</v>
      </c>
      <c r="B63" t="s">
        <v>7</v>
      </c>
      <c r="C63">
        <v>33.659999999999997</v>
      </c>
      <c r="D63">
        <v>4</v>
      </c>
      <c r="E63" t="s">
        <v>4</v>
      </c>
      <c r="F63" t="s">
        <v>5</v>
      </c>
      <c r="G63" s="2">
        <v>4504.6624000000002</v>
      </c>
      <c r="H63" s="1" t="str">
        <f>IF(A63&lt;31,"18-30",IF(A63&lt;46,"31-45",IF(A63&lt;61,"46-60","60+")))</f>
        <v>18-30</v>
      </c>
      <c r="I63" t="str">
        <f>IF(C63&lt;18.5,"Underweight",IF(C63&lt;25,"Normal",IF(C63&lt;30,"Overweight","Obese")))</f>
        <v>Obese</v>
      </c>
      <c r="J63">
        <f>IF(E63="yes",1,0)</f>
        <v>0</v>
      </c>
      <c r="K63" t="str">
        <f>IF(G63&gt;15000,"High","Low")</f>
        <v>Low</v>
      </c>
    </row>
    <row r="64" spans="1:11" x14ac:dyDescent="0.35">
      <c r="A64">
        <v>64</v>
      </c>
      <c r="B64" t="s">
        <v>7</v>
      </c>
      <c r="C64">
        <v>24.7</v>
      </c>
      <c r="D64">
        <v>1</v>
      </c>
      <c r="E64" t="s">
        <v>4</v>
      </c>
      <c r="F64" t="s">
        <v>0</v>
      </c>
      <c r="G64" s="2">
        <v>30166.618170000002</v>
      </c>
      <c r="H64" s="1" t="str">
        <f>IF(A64&lt;31,"18-30",IF(A64&lt;46,"31-45",IF(A64&lt;61,"46-60","60+")))</f>
        <v>60+</v>
      </c>
      <c r="I64" t="str">
        <f>IF(C64&lt;18.5,"Underweight",IF(C64&lt;25,"Normal",IF(C64&lt;30,"Overweight","Obese")))</f>
        <v>Normal</v>
      </c>
      <c r="J64">
        <f>IF(E64="yes",1,0)</f>
        <v>0</v>
      </c>
      <c r="K64" t="str">
        <f>IF(G64&gt;15000,"High","Low")</f>
        <v>High</v>
      </c>
    </row>
    <row r="65" spans="1:11" x14ac:dyDescent="0.35">
      <c r="A65">
        <v>28</v>
      </c>
      <c r="B65" t="s">
        <v>2</v>
      </c>
      <c r="C65">
        <v>25.934999999999999</v>
      </c>
      <c r="D65">
        <v>1</v>
      </c>
      <c r="E65" t="s">
        <v>4</v>
      </c>
      <c r="F65" t="s">
        <v>0</v>
      </c>
      <c r="G65" s="2">
        <v>4133.6416499999996</v>
      </c>
      <c r="H65" s="1" t="str">
        <f>IF(A65&lt;31,"18-30",IF(A65&lt;46,"31-45",IF(A65&lt;61,"46-60","60+")))</f>
        <v>18-30</v>
      </c>
      <c r="I65" t="str">
        <f>IF(C65&lt;18.5,"Underweight",IF(C65&lt;25,"Normal",IF(C65&lt;30,"Overweight","Obese")))</f>
        <v>Overweight</v>
      </c>
      <c r="J65">
        <f>IF(E65="yes",1,0)</f>
        <v>0</v>
      </c>
      <c r="K65" t="str">
        <f>IF(G65&gt;15000,"High","Low")</f>
        <v>Low</v>
      </c>
    </row>
    <row r="66" spans="1:11" x14ac:dyDescent="0.35">
      <c r="A66">
        <v>20</v>
      </c>
      <c r="B66" t="s">
        <v>2</v>
      </c>
      <c r="C66">
        <v>22.42</v>
      </c>
      <c r="D66">
        <v>0</v>
      </c>
      <c r="E66" t="s">
        <v>1</v>
      </c>
      <c r="F66" t="s">
        <v>0</v>
      </c>
      <c r="G66" s="2">
        <v>14711.7438</v>
      </c>
      <c r="H66" s="1" t="str">
        <f>IF(A66&lt;31,"18-30",IF(A66&lt;46,"31-45",IF(A66&lt;61,"46-60","60+")))</f>
        <v>18-30</v>
      </c>
      <c r="I66" t="str">
        <f>IF(C66&lt;18.5,"Underweight",IF(C66&lt;25,"Normal",IF(C66&lt;30,"Overweight","Obese")))</f>
        <v>Normal</v>
      </c>
      <c r="J66">
        <f>IF(E66="yes",1,0)</f>
        <v>1</v>
      </c>
      <c r="K66" t="str">
        <f>IF(G66&gt;15000,"High","Low")</f>
        <v>Low</v>
      </c>
    </row>
    <row r="67" spans="1:11" x14ac:dyDescent="0.35">
      <c r="A67">
        <v>19</v>
      </c>
      <c r="B67" t="s">
        <v>2</v>
      </c>
      <c r="C67">
        <v>28.9</v>
      </c>
      <c r="D67">
        <v>0</v>
      </c>
      <c r="E67" t="s">
        <v>4</v>
      </c>
      <c r="F67" t="s">
        <v>3</v>
      </c>
      <c r="G67" s="2">
        <v>1743.2139999999999</v>
      </c>
      <c r="H67" s="1" t="str">
        <f>IF(A67&lt;31,"18-30",IF(A67&lt;46,"31-45",IF(A67&lt;61,"46-60","60+")))</f>
        <v>18-30</v>
      </c>
      <c r="I67" t="str">
        <f>IF(C67&lt;18.5,"Underweight",IF(C67&lt;25,"Normal",IF(C67&lt;30,"Overweight","Obese")))</f>
        <v>Overweight</v>
      </c>
      <c r="J67">
        <f>IF(E67="yes",1,0)</f>
        <v>0</v>
      </c>
      <c r="K67" t="str">
        <f>IF(G67&gt;15000,"High","Low")</f>
        <v>Low</v>
      </c>
    </row>
    <row r="68" spans="1:11" x14ac:dyDescent="0.35">
      <c r="A68">
        <v>61</v>
      </c>
      <c r="B68" t="s">
        <v>2</v>
      </c>
      <c r="C68">
        <v>39.1</v>
      </c>
      <c r="D68">
        <v>2</v>
      </c>
      <c r="E68" t="s">
        <v>4</v>
      </c>
      <c r="F68" t="s">
        <v>3</v>
      </c>
      <c r="G68" s="2">
        <v>14235.072</v>
      </c>
      <c r="H68" s="1" t="str">
        <f>IF(A68&lt;31,"18-30",IF(A68&lt;46,"31-45",IF(A68&lt;61,"46-60","60+")))</f>
        <v>60+</v>
      </c>
      <c r="I68" t="str">
        <f>IF(C68&lt;18.5,"Underweight",IF(C68&lt;25,"Normal",IF(C68&lt;30,"Overweight","Obese")))</f>
        <v>Obese</v>
      </c>
      <c r="J68">
        <f>IF(E68="yes",1,0)</f>
        <v>0</v>
      </c>
      <c r="K68" t="str">
        <f>IF(G68&gt;15000,"High","Low")</f>
        <v>Low</v>
      </c>
    </row>
    <row r="69" spans="1:11" x14ac:dyDescent="0.35">
      <c r="A69">
        <v>40</v>
      </c>
      <c r="B69" t="s">
        <v>7</v>
      </c>
      <c r="C69">
        <v>26.315000000000001</v>
      </c>
      <c r="D69">
        <v>1</v>
      </c>
      <c r="E69" t="s">
        <v>4</v>
      </c>
      <c r="F69" t="s">
        <v>0</v>
      </c>
      <c r="G69" s="2">
        <v>6389.3778499999999</v>
      </c>
      <c r="H69" s="1" t="str">
        <f>IF(A69&lt;31,"18-30",IF(A69&lt;46,"31-45",IF(A69&lt;61,"46-60","60+")))</f>
        <v>31-45</v>
      </c>
      <c r="I69" t="str">
        <f>IF(C69&lt;18.5,"Underweight",IF(C69&lt;25,"Normal",IF(C69&lt;30,"Overweight","Obese")))</f>
        <v>Overweight</v>
      </c>
      <c r="J69">
        <f>IF(E69="yes",1,0)</f>
        <v>0</v>
      </c>
      <c r="K69" t="str">
        <f>IF(G69&gt;15000,"High","Low")</f>
        <v>Low</v>
      </c>
    </row>
    <row r="70" spans="1:11" x14ac:dyDescent="0.35">
      <c r="A70">
        <v>40</v>
      </c>
      <c r="B70" t="s">
        <v>2</v>
      </c>
      <c r="C70">
        <v>36.19</v>
      </c>
      <c r="D70">
        <v>0</v>
      </c>
      <c r="E70" t="s">
        <v>4</v>
      </c>
      <c r="F70" t="s">
        <v>5</v>
      </c>
      <c r="G70" s="2">
        <v>5920.1040999999996</v>
      </c>
      <c r="H70" s="1" t="str">
        <f>IF(A70&lt;31,"18-30",IF(A70&lt;46,"31-45",IF(A70&lt;61,"46-60","60+")))</f>
        <v>31-45</v>
      </c>
      <c r="I70" t="str">
        <f>IF(C70&lt;18.5,"Underweight",IF(C70&lt;25,"Normal",IF(C70&lt;30,"Overweight","Obese")))</f>
        <v>Obese</v>
      </c>
      <c r="J70">
        <f>IF(E70="yes",1,0)</f>
        <v>0</v>
      </c>
      <c r="K70" t="str">
        <f>IF(G70&gt;15000,"High","Low")</f>
        <v>Low</v>
      </c>
    </row>
    <row r="71" spans="1:11" x14ac:dyDescent="0.35">
      <c r="A71">
        <v>28</v>
      </c>
      <c r="B71" t="s">
        <v>7</v>
      </c>
      <c r="C71">
        <v>23.98</v>
      </c>
      <c r="D71">
        <v>3</v>
      </c>
      <c r="E71" t="s">
        <v>1</v>
      </c>
      <c r="F71" t="s">
        <v>5</v>
      </c>
      <c r="G71" s="2">
        <v>17663.144199999999</v>
      </c>
      <c r="H71" s="1" t="str">
        <f>IF(A71&lt;31,"18-30",IF(A71&lt;46,"31-45",IF(A71&lt;61,"46-60","60+")))</f>
        <v>18-30</v>
      </c>
      <c r="I71" t="str">
        <f>IF(C71&lt;18.5,"Underweight",IF(C71&lt;25,"Normal",IF(C71&lt;30,"Overweight","Obese")))</f>
        <v>Normal</v>
      </c>
      <c r="J71">
        <f>IF(E71="yes",1,0)</f>
        <v>1</v>
      </c>
      <c r="K71" t="str">
        <f>IF(G71&gt;15000,"High","Low")</f>
        <v>High</v>
      </c>
    </row>
    <row r="72" spans="1:11" x14ac:dyDescent="0.35">
      <c r="A72">
        <v>27</v>
      </c>
      <c r="B72" t="s">
        <v>2</v>
      </c>
      <c r="C72">
        <v>24.75</v>
      </c>
      <c r="D72">
        <v>0</v>
      </c>
      <c r="E72" t="s">
        <v>1</v>
      </c>
      <c r="F72" t="s">
        <v>5</v>
      </c>
      <c r="G72" s="2">
        <v>16577.779500000001</v>
      </c>
      <c r="H72" s="1" t="str">
        <f>IF(A72&lt;31,"18-30",IF(A72&lt;46,"31-45",IF(A72&lt;61,"46-60","60+")))</f>
        <v>18-30</v>
      </c>
      <c r="I72" t="str">
        <f>IF(C72&lt;18.5,"Underweight",IF(C72&lt;25,"Normal",IF(C72&lt;30,"Overweight","Obese")))</f>
        <v>Normal</v>
      </c>
      <c r="J72">
        <f>IF(E72="yes",1,0)</f>
        <v>1</v>
      </c>
      <c r="K72" t="str">
        <f>IF(G72&gt;15000,"High","Low")</f>
        <v>High</v>
      </c>
    </row>
    <row r="73" spans="1:11" x14ac:dyDescent="0.35">
      <c r="A73">
        <v>31</v>
      </c>
      <c r="B73" t="s">
        <v>7</v>
      </c>
      <c r="C73">
        <v>28.5</v>
      </c>
      <c r="D73">
        <v>5</v>
      </c>
      <c r="E73" t="s">
        <v>4</v>
      </c>
      <c r="F73" t="s">
        <v>6</v>
      </c>
      <c r="G73" s="2">
        <v>6799.4579999999996</v>
      </c>
      <c r="H73" s="1" t="str">
        <f>IF(A73&lt;31,"18-30",IF(A73&lt;46,"31-45",IF(A73&lt;61,"46-60","60+")))</f>
        <v>31-45</v>
      </c>
      <c r="I73" t="str">
        <f>IF(C73&lt;18.5,"Underweight",IF(C73&lt;25,"Normal",IF(C73&lt;30,"Overweight","Obese")))</f>
        <v>Overweight</v>
      </c>
      <c r="J73">
        <f>IF(E73="yes",1,0)</f>
        <v>0</v>
      </c>
      <c r="K73" t="str">
        <f>IF(G73&gt;15000,"High","Low")</f>
        <v>Low</v>
      </c>
    </row>
    <row r="74" spans="1:11" x14ac:dyDescent="0.35">
      <c r="A74">
        <v>53</v>
      </c>
      <c r="B74" t="s">
        <v>2</v>
      </c>
      <c r="C74">
        <v>28.1</v>
      </c>
      <c r="D74">
        <v>3</v>
      </c>
      <c r="E74" t="s">
        <v>4</v>
      </c>
      <c r="F74" t="s">
        <v>3</v>
      </c>
      <c r="G74" s="2">
        <v>11741.726000000001</v>
      </c>
      <c r="H74" s="1" t="str">
        <f>IF(A74&lt;31,"18-30",IF(A74&lt;46,"31-45",IF(A74&lt;61,"46-60","60+")))</f>
        <v>46-60</v>
      </c>
      <c r="I74" t="str">
        <f>IF(C74&lt;18.5,"Underweight",IF(C74&lt;25,"Normal",IF(C74&lt;30,"Overweight","Obese")))</f>
        <v>Overweight</v>
      </c>
      <c r="J74">
        <f>IF(E74="yes",1,0)</f>
        <v>0</v>
      </c>
      <c r="K74" t="str">
        <f>IF(G74&gt;15000,"High","Low")</f>
        <v>Low</v>
      </c>
    </row>
    <row r="75" spans="1:11" x14ac:dyDescent="0.35">
      <c r="A75">
        <v>58</v>
      </c>
      <c r="B75" t="s">
        <v>7</v>
      </c>
      <c r="C75">
        <v>32.01</v>
      </c>
      <c r="D75">
        <v>1</v>
      </c>
      <c r="E75" t="s">
        <v>4</v>
      </c>
      <c r="F75" t="s">
        <v>5</v>
      </c>
      <c r="G75" s="2">
        <v>11946.625899999999</v>
      </c>
      <c r="H75" s="1" t="str">
        <f>IF(A75&lt;31,"18-30",IF(A75&lt;46,"31-45",IF(A75&lt;61,"46-60","60+")))</f>
        <v>46-60</v>
      </c>
      <c r="I75" t="str">
        <f>IF(C75&lt;18.5,"Underweight",IF(C75&lt;25,"Normal",IF(C75&lt;30,"Overweight","Obese")))</f>
        <v>Obese</v>
      </c>
      <c r="J75">
        <f>IF(E75="yes",1,0)</f>
        <v>0</v>
      </c>
      <c r="K75" t="str">
        <f>IF(G75&gt;15000,"High","Low")</f>
        <v>Low</v>
      </c>
    </row>
    <row r="76" spans="1:11" x14ac:dyDescent="0.35">
      <c r="A76">
        <v>44</v>
      </c>
      <c r="B76" t="s">
        <v>7</v>
      </c>
      <c r="C76">
        <v>27.4</v>
      </c>
      <c r="D76">
        <v>2</v>
      </c>
      <c r="E76" t="s">
        <v>4</v>
      </c>
      <c r="F76" t="s">
        <v>3</v>
      </c>
      <c r="G76" s="2">
        <v>7726.8540000000003</v>
      </c>
      <c r="H76" s="1" t="str">
        <f>IF(A76&lt;31,"18-30",IF(A76&lt;46,"31-45",IF(A76&lt;61,"46-60","60+")))</f>
        <v>31-45</v>
      </c>
      <c r="I76" t="str">
        <f>IF(C76&lt;18.5,"Underweight",IF(C76&lt;25,"Normal",IF(C76&lt;30,"Overweight","Obese")))</f>
        <v>Overweight</v>
      </c>
      <c r="J76">
        <f>IF(E76="yes",1,0)</f>
        <v>0</v>
      </c>
      <c r="K76" t="str">
        <f>IF(G76&gt;15000,"High","Low")</f>
        <v>Low</v>
      </c>
    </row>
    <row r="77" spans="1:11" x14ac:dyDescent="0.35">
      <c r="A77">
        <v>57</v>
      </c>
      <c r="B77" t="s">
        <v>7</v>
      </c>
      <c r="C77">
        <v>34.01</v>
      </c>
      <c r="D77">
        <v>0</v>
      </c>
      <c r="E77" t="s">
        <v>4</v>
      </c>
      <c r="F77" t="s">
        <v>0</v>
      </c>
      <c r="G77" s="2">
        <v>11356.660900000001</v>
      </c>
      <c r="H77" s="1" t="str">
        <f>IF(A77&lt;31,"18-30",IF(A77&lt;46,"31-45",IF(A77&lt;61,"46-60","60+")))</f>
        <v>46-60</v>
      </c>
      <c r="I77" t="str">
        <f>IF(C77&lt;18.5,"Underweight",IF(C77&lt;25,"Normal",IF(C77&lt;30,"Overweight","Obese")))</f>
        <v>Obese</v>
      </c>
      <c r="J77">
        <f>IF(E77="yes",1,0)</f>
        <v>0</v>
      </c>
      <c r="K77" t="str">
        <f>IF(G77&gt;15000,"High","Low")</f>
        <v>Low</v>
      </c>
    </row>
    <row r="78" spans="1:11" x14ac:dyDescent="0.35">
      <c r="A78">
        <v>29</v>
      </c>
      <c r="B78" t="s">
        <v>2</v>
      </c>
      <c r="C78">
        <v>29.59</v>
      </c>
      <c r="D78">
        <v>1</v>
      </c>
      <c r="E78" t="s">
        <v>4</v>
      </c>
      <c r="F78" t="s">
        <v>5</v>
      </c>
      <c r="G78" s="2">
        <v>3947.4131000000002</v>
      </c>
      <c r="H78" s="1" t="str">
        <f>IF(A78&lt;31,"18-30",IF(A78&lt;46,"31-45",IF(A78&lt;61,"46-60","60+")))</f>
        <v>18-30</v>
      </c>
      <c r="I78" t="str">
        <f>IF(C78&lt;18.5,"Underweight",IF(C78&lt;25,"Normal",IF(C78&lt;30,"Overweight","Obese")))</f>
        <v>Overweight</v>
      </c>
      <c r="J78">
        <f>IF(E78="yes",1,0)</f>
        <v>0</v>
      </c>
      <c r="K78" t="str">
        <f>IF(G78&gt;15000,"High","Low")</f>
        <v>Low</v>
      </c>
    </row>
    <row r="79" spans="1:11" x14ac:dyDescent="0.35">
      <c r="A79">
        <v>21</v>
      </c>
      <c r="B79" t="s">
        <v>7</v>
      </c>
      <c r="C79">
        <v>35.53</v>
      </c>
      <c r="D79">
        <v>0</v>
      </c>
      <c r="E79" t="s">
        <v>4</v>
      </c>
      <c r="F79" t="s">
        <v>5</v>
      </c>
      <c r="G79" s="2">
        <v>1532.4697000000001</v>
      </c>
      <c r="H79" s="1" t="str">
        <f>IF(A79&lt;31,"18-30",IF(A79&lt;46,"31-45",IF(A79&lt;61,"46-60","60+")))</f>
        <v>18-30</v>
      </c>
      <c r="I79" t="str">
        <f>IF(C79&lt;18.5,"Underweight",IF(C79&lt;25,"Normal",IF(C79&lt;30,"Overweight","Obese")))</f>
        <v>Obese</v>
      </c>
      <c r="J79">
        <f>IF(E79="yes",1,0)</f>
        <v>0</v>
      </c>
      <c r="K79" t="str">
        <f>IF(G79&gt;15000,"High","Low")</f>
        <v>Low</v>
      </c>
    </row>
    <row r="80" spans="1:11" x14ac:dyDescent="0.35">
      <c r="A80">
        <v>22</v>
      </c>
      <c r="B80" t="s">
        <v>2</v>
      </c>
      <c r="C80">
        <v>39.805</v>
      </c>
      <c r="D80">
        <v>0</v>
      </c>
      <c r="E80" t="s">
        <v>4</v>
      </c>
      <c r="F80" t="s">
        <v>6</v>
      </c>
      <c r="G80" s="2">
        <v>2755.0209500000001</v>
      </c>
      <c r="H80" s="1" t="str">
        <f>IF(A80&lt;31,"18-30",IF(A80&lt;46,"31-45",IF(A80&lt;61,"46-60","60+")))</f>
        <v>18-30</v>
      </c>
      <c r="I80" t="str">
        <f>IF(C80&lt;18.5,"Underweight",IF(C80&lt;25,"Normal",IF(C80&lt;30,"Overweight","Obese")))</f>
        <v>Obese</v>
      </c>
      <c r="J80">
        <f>IF(E80="yes",1,0)</f>
        <v>0</v>
      </c>
      <c r="K80" t="str">
        <f>IF(G80&gt;15000,"High","Low")</f>
        <v>Low</v>
      </c>
    </row>
    <row r="81" spans="1:11" x14ac:dyDescent="0.35">
      <c r="A81">
        <v>41</v>
      </c>
      <c r="B81" t="s">
        <v>2</v>
      </c>
      <c r="C81">
        <v>32.965000000000003</v>
      </c>
      <c r="D81">
        <v>0</v>
      </c>
      <c r="E81" t="s">
        <v>4</v>
      </c>
      <c r="F81" t="s">
        <v>0</v>
      </c>
      <c r="G81" s="2">
        <v>6571.0243499999997</v>
      </c>
      <c r="H81" s="1" t="str">
        <f>IF(A81&lt;31,"18-30",IF(A81&lt;46,"31-45",IF(A81&lt;61,"46-60","60+")))</f>
        <v>31-45</v>
      </c>
      <c r="I81" t="str">
        <f>IF(C81&lt;18.5,"Underweight",IF(C81&lt;25,"Normal",IF(C81&lt;30,"Overweight","Obese")))</f>
        <v>Obese</v>
      </c>
      <c r="J81">
        <f>IF(E81="yes",1,0)</f>
        <v>0</v>
      </c>
      <c r="K81" t="str">
        <f>IF(G81&gt;15000,"High","Low")</f>
        <v>Low</v>
      </c>
    </row>
    <row r="82" spans="1:11" x14ac:dyDescent="0.35">
      <c r="A82">
        <v>31</v>
      </c>
      <c r="B82" t="s">
        <v>7</v>
      </c>
      <c r="C82">
        <v>26.885000000000002</v>
      </c>
      <c r="D82">
        <v>1</v>
      </c>
      <c r="E82" t="s">
        <v>4</v>
      </c>
      <c r="F82" t="s">
        <v>6</v>
      </c>
      <c r="G82" s="2">
        <v>4441.2131499999996</v>
      </c>
      <c r="H82" s="1" t="str">
        <f>IF(A82&lt;31,"18-30",IF(A82&lt;46,"31-45",IF(A82&lt;61,"46-60","60+")))</f>
        <v>31-45</v>
      </c>
      <c r="I82" t="str">
        <f>IF(C82&lt;18.5,"Underweight",IF(C82&lt;25,"Normal",IF(C82&lt;30,"Overweight","Obese")))</f>
        <v>Overweight</v>
      </c>
      <c r="J82">
        <f>IF(E82="yes",1,0)</f>
        <v>0</v>
      </c>
      <c r="K82" t="str">
        <f>IF(G82&gt;15000,"High","Low")</f>
        <v>Low</v>
      </c>
    </row>
    <row r="83" spans="1:11" x14ac:dyDescent="0.35">
      <c r="A83">
        <v>45</v>
      </c>
      <c r="B83" t="s">
        <v>2</v>
      </c>
      <c r="C83">
        <v>38.284999999999997</v>
      </c>
      <c r="D83">
        <v>0</v>
      </c>
      <c r="E83" t="s">
        <v>4</v>
      </c>
      <c r="F83" t="s">
        <v>6</v>
      </c>
      <c r="G83" s="2">
        <v>7935.29115</v>
      </c>
      <c r="H83" s="1" t="str">
        <f>IF(A83&lt;31,"18-30",IF(A83&lt;46,"31-45",IF(A83&lt;61,"46-60","60+")))</f>
        <v>31-45</v>
      </c>
      <c r="I83" t="str">
        <f>IF(C83&lt;18.5,"Underweight",IF(C83&lt;25,"Normal",IF(C83&lt;30,"Overweight","Obese")))</f>
        <v>Obese</v>
      </c>
      <c r="J83">
        <f>IF(E83="yes",1,0)</f>
        <v>0</v>
      </c>
      <c r="K83" t="str">
        <f>IF(G83&gt;15000,"High","Low")</f>
        <v>Low</v>
      </c>
    </row>
    <row r="84" spans="1:11" x14ac:dyDescent="0.35">
      <c r="A84">
        <v>22</v>
      </c>
      <c r="B84" t="s">
        <v>7</v>
      </c>
      <c r="C84">
        <v>37.619999999999997</v>
      </c>
      <c r="D84">
        <v>1</v>
      </c>
      <c r="E84" t="s">
        <v>1</v>
      </c>
      <c r="F84" t="s">
        <v>5</v>
      </c>
      <c r="G84" s="2">
        <v>37165.163800000002</v>
      </c>
      <c r="H84" s="1" t="str">
        <f>IF(A84&lt;31,"18-30",IF(A84&lt;46,"31-45",IF(A84&lt;61,"46-60","60+")))</f>
        <v>18-30</v>
      </c>
      <c r="I84" t="str">
        <f>IF(C84&lt;18.5,"Underweight",IF(C84&lt;25,"Normal",IF(C84&lt;30,"Overweight","Obese")))</f>
        <v>Obese</v>
      </c>
      <c r="J84">
        <f>IF(E84="yes",1,0)</f>
        <v>1</v>
      </c>
      <c r="K84" t="str">
        <f>IF(G84&gt;15000,"High","Low")</f>
        <v>High</v>
      </c>
    </row>
    <row r="85" spans="1:11" x14ac:dyDescent="0.35">
      <c r="A85">
        <v>48</v>
      </c>
      <c r="B85" t="s">
        <v>2</v>
      </c>
      <c r="C85">
        <v>41.23</v>
      </c>
      <c r="D85">
        <v>4</v>
      </c>
      <c r="E85" t="s">
        <v>4</v>
      </c>
      <c r="F85" t="s">
        <v>0</v>
      </c>
      <c r="G85" s="2">
        <v>11033.661700000001</v>
      </c>
      <c r="H85" s="1" t="str">
        <f>IF(A85&lt;31,"18-30",IF(A85&lt;46,"31-45",IF(A85&lt;61,"46-60","60+")))</f>
        <v>46-60</v>
      </c>
      <c r="I85" t="str">
        <f>IF(C85&lt;18.5,"Underweight",IF(C85&lt;25,"Normal",IF(C85&lt;30,"Overweight","Obese")))</f>
        <v>Obese</v>
      </c>
      <c r="J85">
        <f>IF(E85="yes",1,0)</f>
        <v>0</v>
      </c>
      <c r="K85" t="str">
        <f>IF(G85&gt;15000,"High","Low")</f>
        <v>Low</v>
      </c>
    </row>
    <row r="86" spans="1:11" x14ac:dyDescent="0.35">
      <c r="A86">
        <v>37</v>
      </c>
      <c r="B86" t="s">
        <v>2</v>
      </c>
      <c r="C86">
        <v>34.799999999999997</v>
      </c>
      <c r="D86">
        <v>2</v>
      </c>
      <c r="E86" t="s">
        <v>1</v>
      </c>
      <c r="F86" t="s">
        <v>3</v>
      </c>
      <c r="G86" s="2">
        <v>39836.519</v>
      </c>
      <c r="H86" s="1" t="str">
        <f>IF(A86&lt;31,"18-30",IF(A86&lt;46,"31-45",IF(A86&lt;61,"46-60","60+")))</f>
        <v>31-45</v>
      </c>
      <c r="I86" t="str">
        <f>IF(C86&lt;18.5,"Underweight",IF(C86&lt;25,"Normal",IF(C86&lt;30,"Overweight","Obese")))</f>
        <v>Obese</v>
      </c>
      <c r="J86">
        <f>IF(E86="yes",1,0)</f>
        <v>1</v>
      </c>
      <c r="K86" t="str">
        <f>IF(G86&gt;15000,"High","Low")</f>
        <v>High</v>
      </c>
    </row>
    <row r="87" spans="1:11" x14ac:dyDescent="0.35">
      <c r="A87">
        <v>45</v>
      </c>
      <c r="B87" t="s">
        <v>7</v>
      </c>
      <c r="C87">
        <v>22.895</v>
      </c>
      <c r="D87">
        <v>2</v>
      </c>
      <c r="E87" t="s">
        <v>1</v>
      </c>
      <c r="F87" t="s">
        <v>0</v>
      </c>
      <c r="G87" s="2">
        <v>21098.554049999999</v>
      </c>
      <c r="H87" s="1" t="str">
        <f>IF(A87&lt;31,"18-30",IF(A87&lt;46,"31-45",IF(A87&lt;61,"46-60","60+")))</f>
        <v>31-45</v>
      </c>
      <c r="I87" t="str">
        <f>IF(C87&lt;18.5,"Underweight",IF(C87&lt;25,"Normal",IF(C87&lt;30,"Overweight","Obese")))</f>
        <v>Normal</v>
      </c>
      <c r="J87">
        <f>IF(E87="yes",1,0)</f>
        <v>1</v>
      </c>
      <c r="K87" t="str">
        <f>IF(G87&gt;15000,"High","Low")</f>
        <v>High</v>
      </c>
    </row>
    <row r="88" spans="1:11" x14ac:dyDescent="0.35">
      <c r="A88">
        <v>57</v>
      </c>
      <c r="B88" t="s">
        <v>2</v>
      </c>
      <c r="C88">
        <v>31.16</v>
      </c>
      <c r="D88">
        <v>0</v>
      </c>
      <c r="E88" t="s">
        <v>1</v>
      </c>
      <c r="F88" t="s">
        <v>0</v>
      </c>
      <c r="G88" s="2">
        <v>43578.939400000003</v>
      </c>
      <c r="H88" s="1" t="str">
        <f>IF(A88&lt;31,"18-30",IF(A88&lt;46,"31-45",IF(A88&lt;61,"46-60","60+")))</f>
        <v>46-60</v>
      </c>
      <c r="I88" t="str">
        <f>IF(C88&lt;18.5,"Underweight",IF(C88&lt;25,"Normal",IF(C88&lt;30,"Overweight","Obese")))</f>
        <v>Obese</v>
      </c>
      <c r="J88">
        <f>IF(E88="yes",1,0)</f>
        <v>1</v>
      </c>
      <c r="K88" t="str">
        <f>IF(G88&gt;15000,"High","Low")</f>
        <v>High</v>
      </c>
    </row>
    <row r="89" spans="1:11" x14ac:dyDescent="0.35">
      <c r="A89">
        <v>56</v>
      </c>
      <c r="B89" t="s">
        <v>2</v>
      </c>
      <c r="C89">
        <v>27.2</v>
      </c>
      <c r="D89">
        <v>0</v>
      </c>
      <c r="E89" t="s">
        <v>4</v>
      </c>
      <c r="F89" t="s">
        <v>3</v>
      </c>
      <c r="G89" s="2">
        <v>11073.175999999999</v>
      </c>
      <c r="H89" s="1" t="str">
        <f>IF(A89&lt;31,"18-30",IF(A89&lt;46,"31-45",IF(A89&lt;61,"46-60","60+")))</f>
        <v>46-60</v>
      </c>
      <c r="I89" t="str">
        <f>IF(C89&lt;18.5,"Underweight",IF(C89&lt;25,"Normal",IF(C89&lt;30,"Overweight","Obese")))</f>
        <v>Overweight</v>
      </c>
      <c r="J89">
        <f>IF(E89="yes",1,0)</f>
        <v>0</v>
      </c>
      <c r="K89" t="str">
        <f>IF(G89&gt;15000,"High","Low")</f>
        <v>Low</v>
      </c>
    </row>
    <row r="90" spans="1:11" x14ac:dyDescent="0.35">
      <c r="A90">
        <v>46</v>
      </c>
      <c r="B90" t="s">
        <v>2</v>
      </c>
      <c r="C90">
        <v>27.74</v>
      </c>
      <c r="D90">
        <v>0</v>
      </c>
      <c r="E90" t="s">
        <v>4</v>
      </c>
      <c r="F90" t="s">
        <v>0</v>
      </c>
      <c r="G90" s="2">
        <v>8026.6665999999996</v>
      </c>
      <c r="H90" s="1" t="str">
        <f>IF(A90&lt;31,"18-30",IF(A90&lt;46,"31-45",IF(A90&lt;61,"46-60","60+")))</f>
        <v>46-60</v>
      </c>
      <c r="I90" t="str">
        <f>IF(C90&lt;18.5,"Underweight",IF(C90&lt;25,"Normal",IF(C90&lt;30,"Overweight","Obese")))</f>
        <v>Overweight</v>
      </c>
      <c r="J90">
        <f>IF(E90="yes",1,0)</f>
        <v>0</v>
      </c>
      <c r="K90" t="str">
        <f>IF(G90&gt;15000,"High","Low")</f>
        <v>Low</v>
      </c>
    </row>
    <row r="91" spans="1:11" x14ac:dyDescent="0.35">
      <c r="A91">
        <v>55</v>
      </c>
      <c r="B91" t="s">
        <v>2</v>
      </c>
      <c r="C91">
        <v>26.98</v>
      </c>
      <c r="D91">
        <v>0</v>
      </c>
      <c r="E91" t="s">
        <v>4</v>
      </c>
      <c r="F91" t="s">
        <v>0</v>
      </c>
      <c r="G91" s="2">
        <v>11082.5772</v>
      </c>
      <c r="H91" s="1" t="str">
        <f>IF(A91&lt;31,"18-30",IF(A91&lt;46,"31-45",IF(A91&lt;61,"46-60","60+")))</f>
        <v>46-60</v>
      </c>
      <c r="I91" t="str">
        <f>IF(C91&lt;18.5,"Underweight",IF(C91&lt;25,"Normal",IF(C91&lt;30,"Overweight","Obese")))</f>
        <v>Overweight</v>
      </c>
      <c r="J91">
        <f>IF(E91="yes",1,0)</f>
        <v>0</v>
      </c>
      <c r="K91" t="str">
        <f>IF(G91&gt;15000,"High","Low")</f>
        <v>Low</v>
      </c>
    </row>
    <row r="92" spans="1:11" x14ac:dyDescent="0.35">
      <c r="A92">
        <v>21</v>
      </c>
      <c r="B92" t="s">
        <v>2</v>
      </c>
      <c r="C92">
        <v>39.49</v>
      </c>
      <c r="D92">
        <v>0</v>
      </c>
      <c r="E92" t="s">
        <v>4</v>
      </c>
      <c r="F92" t="s">
        <v>5</v>
      </c>
      <c r="G92" s="2">
        <v>2026.9740999999999</v>
      </c>
      <c r="H92" s="1" t="str">
        <f>IF(A92&lt;31,"18-30",IF(A92&lt;46,"31-45",IF(A92&lt;61,"46-60","60+")))</f>
        <v>18-30</v>
      </c>
      <c r="I92" t="str">
        <f>IF(C92&lt;18.5,"Underweight",IF(C92&lt;25,"Normal",IF(C92&lt;30,"Overweight","Obese")))</f>
        <v>Obese</v>
      </c>
      <c r="J92">
        <f>IF(E92="yes",1,0)</f>
        <v>0</v>
      </c>
      <c r="K92" t="str">
        <f>IF(G92&gt;15000,"High","Low")</f>
        <v>Low</v>
      </c>
    </row>
    <row r="93" spans="1:11" x14ac:dyDescent="0.35">
      <c r="A93">
        <v>53</v>
      </c>
      <c r="B93" t="s">
        <v>2</v>
      </c>
      <c r="C93">
        <v>24.795000000000002</v>
      </c>
      <c r="D93">
        <v>1</v>
      </c>
      <c r="E93" t="s">
        <v>4</v>
      </c>
      <c r="F93" t="s">
        <v>0</v>
      </c>
      <c r="G93" s="2">
        <v>10942.13205</v>
      </c>
      <c r="H93" s="1" t="str">
        <f>IF(A93&lt;31,"18-30",IF(A93&lt;46,"31-45",IF(A93&lt;61,"46-60","60+")))</f>
        <v>46-60</v>
      </c>
      <c r="I93" t="str">
        <f>IF(C93&lt;18.5,"Underweight",IF(C93&lt;25,"Normal",IF(C93&lt;30,"Overweight","Obese")))</f>
        <v>Normal</v>
      </c>
      <c r="J93">
        <f>IF(E93="yes",1,0)</f>
        <v>0</v>
      </c>
      <c r="K93" t="str">
        <f>IF(G93&gt;15000,"High","Low")</f>
        <v>Low</v>
      </c>
    </row>
    <row r="94" spans="1:11" x14ac:dyDescent="0.35">
      <c r="A94">
        <v>59</v>
      </c>
      <c r="B94" t="s">
        <v>7</v>
      </c>
      <c r="C94">
        <v>29.83</v>
      </c>
      <c r="D94">
        <v>3</v>
      </c>
      <c r="E94" t="s">
        <v>1</v>
      </c>
      <c r="F94" t="s">
        <v>6</v>
      </c>
      <c r="G94" s="2">
        <v>30184.936699999998</v>
      </c>
      <c r="H94" s="1" t="str">
        <f>IF(A94&lt;31,"18-30",IF(A94&lt;46,"31-45",IF(A94&lt;61,"46-60","60+")))</f>
        <v>46-60</v>
      </c>
      <c r="I94" t="str">
        <f>IF(C94&lt;18.5,"Underweight",IF(C94&lt;25,"Normal",IF(C94&lt;30,"Overweight","Obese")))</f>
        <v>Overweight</v>
      </c>
      <c r="J94">
        <f>IF(E94="yes",1,0)</f>
        <v>1</v>
      </c>
      <c r="K94" t="str">
        <f>IF(G94&gt;15000,"High","Low")</f>
        <v>High</v>
      </c>
    </row>
    <row r="95" spans="1:11" x14ac:dyDescent="0.35">
      <c r="A95">
        <v>35</v>
      </c>
      <c r="B95" t="s">
        <v>7</v>
      </c>
      <c r="C95">
        <v>34.770000000000003</v>
      </c>
      <c r="D95">
        <v>2</v>
      </c>
      <c r="E95" t="s">
        <v>4</v>
      </c>
      <c r="F95" t="s">
        <v>0</v>
      </c>
      <c r="G95" s="2">
        <v>5729.0052999999998</v>
      </c>
      <c r="H95" s="1" t="str">
        <f>IF(A95&lt;31,"18-30",IF(A95&lt;46,"31-45",IF(A95&lt;61,"46-60","60+")))</f>
        <v>31-45</v>
      </c>
      <c r="I95" t="str">
        <f>IF(C95&lt;18.5,"Underweight",IF(C95&lt;25,"Normal",IF(C95&lt;30,"Overweight","Obese")))</f>
        <v>Obese</v>
      </c>
      <c r="J95">
        <f>IF(E95="yes",1,0)</f>
        <v>0</v>
      </c>
      <c r="K95" t="str">
        <f>IF(G95&gt;15000,"High","Low")</f>
        <v>Low</v>
      </c>
    </row>
    <row r="96" spans="1:11" x14ac:dyDescent="0.35">
      <c r="A96">
        <v>64</v>
      </c>
      <c r="B96" t="s">
        <v>2</v>
      </c>
      <c r="C96">
        <v>31.3</v>
      </c>
      <c r="D96">
        <v>2</v>
      </c>
      <c r="E96" t="s">
        <v>1</v>
      </c>
      <c r="F96" t="s">
        <v>3</v>
      </c>
      <c r="G96" s="2">
        <v>47291.055</v>
      </c>
      <c r="H96" s="1" t="str">
        <f>IF(A96&lt;31,"18-30",IF(A96&lt;46,"31-45",IF(A96&lt;61,"46-60","60+")))</f>
        <v>60+</v>
      </c>
      <c r="I96" t="str">
        <f>IF(C96&lt;18.5,"Underweight",IF(C96&lt;25,"Normal",IF(C96&lt;30,"Overweight","Obese")))</f>
        <v>Obese</v>
      </c>
      <c r="J96">
        <f>IF(E96="yes",1,0)</f>
        <v>1</v>
      </c>
      <c r="K96" t="str">
        <f>IF(G96&gt;15000,"High","Low")</f>
        <v>High</v>
      </c>
    </row>
    <row r="97" spans="1:11" x14ac:dyDescent="0.35">
      <c r="A97">
        <v>28</v>
      </c>
      <c r="B97" t="s">
        <v>2</v>
      </c>
      <c r="C97">
        <v>37.619999999999997</v>
      </c>
      <c r="D97">
        <v>1</v>
      </c>
      <c r="E97" t="s">
        <v>4</v>
      </c>
      <c r="F97" t="s">
        <v>5</v>
      </c>
      <c r="G97" s="2">
        <v>3766.8838000000001</v>
      </c>
      <c r="H97" s="1" t="str">
        <f>IF(A97&lt;31,"18-30",IF(A97&lt;46,"31-45",IF(A97&lt;61,"46-60","60+")))</f>
        <v>18-30</v>
      </c>
      <c r="I97" t="str">
        <f>IF(C97&lt;18.5,"Underweight",IF(C97&lt;25,"Normal",IF(C97&lt;30,"Overweight","Obese")))</f>
        <v>Obese</v>
      </c>
      <c r="J97">
        <f>IF(E97="yes",1,0)</f>
        <v>0</v>
      </c>
      <c r="K97" t="str">
        <f>IF(G97&gt;15000,"High","Low")</f>
        <v>Low</v>
      </c>
    </row>
    <row r="98" spans="1:11" x14ac:dyDescent="0.35">
      <c r="A98">
        <v>54</v>
      </c>
      <c r="B98" t="s">
        <v>2</v>
      </c>
      <c r="C98">
        <v>30.8</v>
      </c>
      <c r="D98">
        <v>3</v>
      </c>
      <c r="E98" t="s">
        <v>4</v>
      </c>
      <c r="F98" t="s">
        <v>3</v>
      </c>
      <c r="G98" s="2">
        <v>12105.32</v>
      </c>
      <c r="H98" s="1" t="str">
        <f>IF(A98&lt;31,"18-30",IF(A98&lt;46,"31-45",IF(A98&lt;61,"46-60","60+")))</f>
        <v>46-60</v>
      </c>
      <c r="I98" t="str">
        <f>IF(C98&lt;18.5,"Underweight",IF(C98&lt;25,"Normal",IF(C98&lt;30,"Overweight","Obese")))</f>
        <v>Obese</v>
      </c>
      <c r="J98">
        <f>IF(E98="yes",1,0)</f>
        <v>0</v>
      </c>
      <c r="K98" t="str">
        <f>IF(G98&gt;15000,"High","Low")</f>
        <v>Low</v>
      </c>
    </row>
    <row r="99" spans="1:11" x14ac:dyDescent="0.35">
      <c r="A99">
        <v>55</v>
      </c>
      <c r="B99" t="s">
        <v>7</v>
      </c>
      <c r="C99">
        <v>38.28</v>
      </c>
      <c r="D99">
        <v>0</v>
      </c>
      <c r="E99" t="s">
        <v>4</v>
      </c>
      <c r="F99" t="s">
        <v>5</v>
      </c>
      <c r="G99" s="2">
        <v>10226.2842</v>
      </c>
      <c r="H99" s="1" t="str">
        <f>IF(A99&lt;31,"18-30",IF(A99&lt;46,"31-45",IF(A99&lt;61,"46-60","60+")))</f>
        <v>46-60</v>
      </c>
      <c r="I99" t="str">
        <f>IF(C99&lt;18.5,"Underweight",IF(C99&lt;25,"Normal",IF(C99&lt;30,"Overweight","Obese")))</f>
        <v>Obese</v>
      </c>
      <c r="J99">
        <f>IF(E99="yes",1,0)</f>
        <v>0</v>
      </c>
      <c r="K99" t="str">
        <f>IF(G99&gt;15000,"High","Low")</f>
        <v>Low</v>
      </c>
    </row>
    <row r="100" spans="1:11" x14ac:dyDescent="0.35">
      <c r="A100">
        <v>56</v>
      </c>
      <c r="B100" t="s">
        <v>7</v>
      </c>
      <c r="C100">
        <v>19.95</v>
      </c>
      <c r="D100">
        <v>0</v>
      </c>
      <c r="E100" t="s">
        <v>1</v>
      </c>
      <c r="F100" t="s">
        <v>6</v>
      </c>
      <c r="G100" s="2">
        <v>22412.648499999999</v>
      </c>
      <c r="H100" s="1" t="str">
        <f>IF(A100&lt;31,"18-30",IF(A100&lt;46,"31-45",IF(A100&lt;61,"46-60","60+")))</f>
        <v>46-60</v>
      </c>
      <c r="I100" t="str">
        <f>IF(C100&lt;18.5,"Underweight",IF(C100&lt;25,"Normal",IF(C100&lt;30,"Overweight","Obese")))</f>
        <v>Normal</v>
      </c>
      <c r="J100">
        <f>IF(E100="yes",1,0)</f>
        <v>1</v>
      </c>
      <c r="K100" t="str">
        <f>IF(G100&gt;15000,"High","Low")</f>
        <v>High</v>
      </c>
    </row>
    <row r="101" spans="1:11" x14ac:dyDescent="0.35">
      <c r="A101">
        <v>38</v>
      </c>
      <c r="B101" t="s">
        <v>7</v>
      </c>
      <c r="C101">
        <v>19.3</v>
      </c>
      <c r="D101">
        <v>0</v>
      </c>
      <c r="E101" t="s">
        <v>1</v>
      </c>
      <c r="F101" t="s">
        <v>3</v>
      </c>
      <c r="G101" s="2">
        <v>15820.699000000001</v>
      </c>
      <c r="H101" s="1" t="str">
        <f>IF(A101&lt;31,"18-30",IF(A101&lt;46,"31-45",IF(A101&lt;61,"46-60","60+")))</f>
        <v>31-45</v>
      </c>
      <c r="I101" t="str">
        <f>IF(C101&lt;18.5,"Underweight",IF(C101&lt;25,"Normal",IF(C101&lt;30,"Overweight","Obese")))</f>
        <v>Normal</v>
      </c>
      <c r="J101">
        <f>IF(E101="yes",1,0)</f>
        <v>1</v>
      </c>
      <c r="K101" t="str">
        <f>IF(G101&gt;15000,"High","Low")</f>
        <v>High</v>
      </c>
    </row>
    <row r="102" spans="1:11" x14ac:dyDescent="0.35">
      <c r="A102">
        <v>41</v>
      </c>
      <c r="B102" t="s">
        <v>2</v>
      </c>
      <c r="C102">
        <v>31.6</v>
      </c>
      <c r="D102">
        <v>0</v>
      </c>
      <c r="E102" t="s">
        <v>4</v>
      </c>
      <c r="F102" t="s">
        <v>3</v>
      </c>
      <c r="G102" s="2">
        <v>6186.1270000000004</v>
      </c>
      <c r="H102" s="1" t="str">
        <f>IF(A102&lt;31,"18-30",IF(A102&lt;46,"31-45",IF(A102&lt;61,"46-60","60+")))</f>
        <v>31-45</v>
      </c>
      <c r="I102" t="str">
        <f>IF(C102&lt;18.5,"Underweight",IF(C102&lt;25,"Normal",IF(C102&lt;30,"Overweight","Obese")))</f>
        <v>Obese</v>
      </c>
      <c r="J102">
        <f>IF(E102="yes",1,0)</f>
        <v>0</v>
      </c>
      <c r="K102" t="str">
        <f>IF(G102&gt;15000,"High","Low")</f>
        <v>Low</v>
      </c>
    </row>
    <row r="103" spans="1:11" x14ac:dyDescent="0.35">
      <c r="A103">
        <v>30</v>
      </c>
      <c r="B103" t="s">
        <v>7</v>
      </c>
      <c r="C103">
        <v>25.46</v>
      </c>
      <c r="D103">
        <v>0</v>
      </c>
      <c r="E103" t="s">
        <v>4</v>
      </c>
      <c r="F103" t="s">
        <v>6</v>
      </c>
      <c r="G103" s="2">
        <v>3645.0893999999998</v>
      </c>
      <c r="H103" s="1" t="str">
        <f>IF(A103&lt;31,"18-30",IF(A103&lt;46,"31-45",IF(A103&lt;61,"46-60","60+")))</f>
        <v>18-30</v>
      </c>
      <c r="I103" t="str">
        <f>IF(C103&lt;18.5,"Underweight",IF(C103&lt;25,"Normal",IF(C103&lt;30,"Overweight","Obese")))</f>
        <v>Overweight</v>
      </c>
      <c r="J103">
        <f>IF(E103="yes",1,0)</f>
        <v>0</v>
      </c>
      <c r="K103" t="str">
        <f>IF(G103&gt;15000,"High","Low")</f>
        <v>Low</v>
      </c>
    </row>
    <row r="104" spans="1:11" x14ac:dyDescent="0.35">
      <c r="A104">
        <v>18</v>
      </c>
      <c r="B104" t="s">
        <v>2</v>
      </c>
      <c r="C104">
        <v>30.114999999999998</v>
      </c>
      <c r="D104">
        <v>0</v>
      </c>
      <c r="E104" t="s">
        <v>4</v>
      </c>
      <c r="F104" t="s">
        <v>6</v>
      </c>
      <c r="G104" s="2">
        <v>21344.846699999998</v>
      </c>
      <c r="H104" s="1" t="str">
        <f>IF(A104&lt;31,"18-30",IF(A104&lt;46,"31-45",IF(A104&lt;61,"46-60","60+")))</f>
        <v>18-30</v>
      </c>
      <c r="I104" t="str">
        <f>IF(C104&lt;18.5,"Underweight",IF(C104&lt;25,"Normal",IF(C104&lt;30,"Overweight","Obese")))</f>
        <v>Obese</v>
      </c>
      <c r="J104">
        <f>IF(E104="yes",1,0)</f>
        <v>0</v>
      </c>
      <c r="K104" t="str">
        <f>IF(G104&gt;15000,"High","Low")</f>
        <v>High</v>
      </c>
    </row>
    <row r="105" spans="1:11" x14ac:dyDescent="0.35">
      <c r="A105">
        <v>61</v>
      </c>
      <c r="B105" t="s">
        <v>2</v>
      </c>
      <c r="C105">
        <v>29.92</v>
      </c>
      <c r="D105">
        <v>3</v>
      </c>
      <c r="E105" t="s">
        <v>1</v>
      </c>
      <c r="F105" t="s">
        <v>5</v>
      </c>
      <c r="G105" s="2">
        <v>30942.191800000001</v>
      </c>
      <c r="H105" s="1" t="str">
        <f>IF(A105&lt;31,"18-30",IF(A105&lt;46,"31-45",IF(A105&lt;61,"46-60","60+")))</f>
        <v>60+</v>
      </c>
      <c r="I105" t="str">
        <f>IF(C105&lt;18.5,"Underweight",IF(C105&lt;25,"Normal",IF(C105&lt;30,"Overweight","Obese")))</f>
        <v>Overweight</v>
      </c>
      <c r="J105">
        <f>IF(E105="yes",1,0)</f>
        <v>1</v>
      </c>
      <c r="K105" t="str">
        <f>IF(G105&gt;15000,"High","Low")</f>
        <v>High</v>
      </c>
    </row>
    <row r="106" spans="1:11" x14ac:dyDescent="0.35">
      <c r="A106">
        <v>34</v>
      </c>
      <c r="B106" t="s">
        <v>2</v>
      </c>
      <c r="C106">
        <v>27.5</v>
      </c>
      <c r="D106">
        <v>1</v>
      </c>
      <c r="E106" t="s">
        <v>4</v>
      </c>
      <c r="F106" t="s">
        <v>3</v>
      </c>
      <c r="G106" s="2">
        <v>5003.8530000000001</v>
      </c>
      <c r="H106" s="1" t="str">
        <f>IF(A106&lt;31,"18-30",IF(A106&lt;46,"31-45",IF(A106&lt;61,"46-60","60+")))</f>
        <v>31-45</v>
      </c>
      <c r="I106" t="str">
        <f>IF(C106&lt;18.5,"Underweight",IF(C106&lt;25,"Normal",IF(C106&lt;30,"Overweight","Obese")))</f>
        <v>Overweight</v>
      </c>
      <c r="J106">
        <f>IF(E106="yes",1,0)</f>
        <v>0</v>
      </c>
      <c r="K106" t="str">
        <f>IF(G106&gt;15000,"High","Low")</f>
        <v>Low</v>
      </c>
    </row>
    <row r="107" spans="1:11" x14ac:dyDescent="0.35">
      <c r="A107">
        <v>20</v>
      </c>
      <c r="B107" t="s">
        <v>7</v>
      </c>
      <c r="C107">
        <v>28.024999999999999</v>
      </c>
      <c r="D107">
        <v>1</v>
      </c>
      <c r="E107" t="s">
        <v>1</v>
      </c>
      <c r="F107" t="s">
        <v>0</v>
      </c>
      <c r="G107" s="2">
        <v>17560.37975</v>
      </c>
      <c r="H107" s="1" t="str">
        <f>IF(A107&lt;31,"18-30",IF(A107&lt;46,"31-45",IF(A107&lt;61,"46-60","60+")))</f>
        <v>18-30</v>
      </c>
      <c r="I107" t="str">
        <f>IF(C107&lt;18.5,"Underweight",IF(C107&lt;25,"Normal",IF(C107&lt;30,"Overweight","Obese")))</f>
        <v>Overweight</v>
      </c>
      <c r="J107">
        <f>IF(E107="yes",1,0)</f>
        <v>1</v>
      </c>
      <c r="K107" t="str">
        <f>IF(G107&gt;15000,"High","Low")</f>
        <v>High</v>
      </c>
    </row>
    <row r="108" spans="1:11" x14ac:dyDescent="0.35">
      <c r="A108">
        <v>19</v>
      </c>
      <c r="B108" t="s">
        <v>2</v>
      </c>
      <c r="C108">
        <v>28.4</v>
      </c>
      <c r="D108">
        <v>1</v>
      </c>
      <c r="E108" t="s">
        <v>4</v>
      </c>
      <c r="F108" t="s">
        <v>3</v>
      </c>
      <c r="G108" s="2">
        <v>2331.5189999999998</v>
      </c>
      <c r="H108" s="1" t="str">
        <f>IF(A108&lt;31,"18-30",IF(A108&lt;46,"31-45",IF(A108&lt;61,"46-60","60+")))</f>
        <v>18-30</v>
      </c>
      <c r="I108" t="str">
        <f>IF(C108&lt;18.5,"Underweight",IF(C108&lt;25,"Normal",IF(C108&lt;30,"Overweight","Obese")))</f>
        <v>Overweight</v>
      </c>
      <c r="J108">
        <f>IF(E108="yes",1,0)</f>
        <v>0</v>
      </c>
      <c r="K108" t="str">
        <f>IF(G108&gt;15000,"High","Low")</f>
        <v>Low</v>
      </c>
    </row>
    <row r="109" spans="1:11" x14ac:dyDescent="0.35">
      <c r="A109">
        <v>26</v>
      </c>
      <c r="B109" t="s">
        <v>7</v>
      </c>
      <c r="C109">
        <v>30.875</v>
      </c>
      <c r="D109">
        <v>2</v>
      </c>
      <c r="E109" t="s">
        <v>4</v>
      </c>
      <c r="F109" t="s">
        <v>0</v>
      </c>
      <c r="G109" s="2">
        <v>3877.3042500000001</v>
      </c>
      <c r="H109" s="1" t="str">
        <f>IF(A109&lt;31,"18-30",IF(A109&lt;46,"31-45",IF(A109&lt;61,"46-60","60+")))</f>
        <v>18-30</v>
      </c>
      <c r="I109" t="str">
        <f>IF(C109&lt;18.5,"Underweight",IF(C109&lt;25,"Normal",IF(C109&lt;30,"Overweight","Obese")))</f>
        <v>Obese</v>
      </c>
      <c r="J109">
        <f>IF(E109="yes",1,0)</f>
        <v>0</v>
      </c>
      <c r="K109" t="str">
        <f>IF(G109&gt;15000,"High","Low")</f>
        <v>Low</v>
      </c>
    </row>
    <row r="110" spans="1:11" x14ac:dyDescent="0.35">
      <c r="A110">
        <v>29</v>
      </c>
      <c r="B110" t="s">
        <v>7</v>
      </c>
      <c r="C110">
        <v>27.94</v>
      </c>
      <c r="D110">
        <v>0</v>
      </c>
      <c r="E110" t="s">
        <v>4</v>
      </c>
      <c r="F110" t="s">
        <v>5</v>
      </c>
      <c r="G110" s="2">
        <v>2867.1196</v>
      </c>
      <c r="H110" s="1" t="str">
        <f>IF(A110&lt;31,"18-30",IF(A110&lt;46,"31-45",IF(A110&lt;61,"46-60","60+")))</f>
        <v>18-30</v>
      </c>
      <c r="I110" t="str">
        <f>IF(C110&lt;18.5,"Underweight",IF(C110&lt;25,"Normal",IF(C110&lt;30,"Overweight","Obese")))</f>
        <v>Overweight</v>
      </c>
      <c r="J110">
        <f>IF(E110="yes",1,0)</f>
        <v>0</v>
      </c>
      <c r="K110" t="str">
        <f>IF(G110&gt;15000,"High","Low")</f>
        <v>Low</v>
      </c>
    </row>
    <row r="111" spans="1:11" x14ac:dyDescent="0.35">
      <c r="A111">
        <v>63</v>
      </c>
      <c r="B111" t="s">
        <v>7</v>
      </c>
      <c r="C111">
        <v>35.090000000000003</v>
      </c>
      <c r="D111">
        <v>0</v>
      </c>
      <c r="E111" t="s">
        <v>1</v>
      </c>
      <c r="F111" t="s">
        <v>5</v>
      </c>
      <c r="G111" s="2">
        <v>47055.532099999997</v>
      </c>
      <c r="H111" s="1" t="str">
        <f>IF(A111&lt;31,"18-30",IF(A111&lt;46,"31-45",IF(A111&lt;61,"46-60","60+")))</f>
        <v>60+</v>
      </c>
      <c r="I111" t="str">
        <f>IF(C111&lt;18.5,"Underweight",IF(C111&lt;25,"Normal",IF(C111&lt;30,"Overweight","Obese")))</f>
        <v>Obese</v>
      </c>
      <c r="J111">
        <f>IF(E111="yes",1,0)</f>
        <v>1</v>
      </c>
      <c r="K111" t="str">
        <f>IF(G111&gt;15000,"High","Low")</f>
        <v>High</v>
      </c>
    </row>
    <row r="112" spans="1:11" x14ac:dyDescent="0.35">
      <c r="A112">
        <v>54</v>
      </c>
      <c r="B112" t="s">
        <v>7</v>
      </c>
      <c r="C112">
        <v>33.630000000000003</v>
      </c>
      <c r="D112">
        <v>1</v>
      </c>
      <c r="E112" t="s">
        <v>4</v>
      </c>
      <c r="F112" t="s">
        <v>0</v>
      </c>
      <c r="G112" s="2">
        <v>10825.253699999999</v>
      </c>
      <c r="H112" s="1" t="str">
        <f>IF(A112&lt;31,"18-30",IF(A112&lt;46,"31-45",IF(A112&lt;61,"46-60","60+")))</f>
        <v>46-60</v>
      </c>
      <c r="I112" t="str">
        <f>IF(C112&lt;18.5,"Underweight",IF(C112&lt;25,"Normal",IF(C112&lt;30,"Overweight","Obese")))</f>
        <v>Obese</v>
      </c>
      <c r="J112">
        <f>IF(E112="yes",1,0)</f>
        <v>0</v>
      </c>
      <c r="K112" t="str">
        <f>IF(G112&gt;15000,"High","Low")</f>
        <v>Low</v>
      </c>
    </row>
    <row r="113" spans="1:11" x14ac:dyDescent="0.35">
      <c r="A113">
        <v>55</v>
      </c>
      <c r="B113" t="s">
        <v>2</v>
      </c>
      <c r="C113">
        <v>29.7</v>
      </c>
      <c r="D113">
        <v>2</v>
      </c>
      <c r="E113" t="s">
        <v>4</v>
      </c>
      <c r="F113" t="s">
        <v>3</v>
      </c>
      <c r="G113" s="2">
        <v>11881.358</v>
      </c>
      <c r="H113" s="1" t="str">
        <f>IF(A113&lt;31,"18-30",IF(A113&lt;46,"31-45",IF(A113&lt;61,"46-60","60+")))</f>
        <v>46-60</v>
      </c>
      <c r="I113" t="str">
        <f>IF(C113&lt;18.5,"Underweight",IF(C113&lt;25,"Normal",IF(C113&lt;30,"Overweight","Obese")))</f>
        <v>Overweight</v>
      </c>
      <c r="J113">
        <f>IF(E113="yes",1,0)</f>
        <v>0</v>
      </c>
      <c r="K113" t="str">
        <f>IF(G113&gt;15000,"High","Low")</f>
        <v>Low</v>
      </c>
    </row>
    <row r="114" spans="1:11" x14ac:dyDescent="0.35">
      <c r="A114">
        <v>37</v>
      </c>
      <c r="B114" t="s">
        <v>7</v>
      </c>
      <c r="C114">
        <v>30.8</v>
      </c>
      <c r="D114">
        <v>0</v>
      </c>
      <c r="E114" t="s">
        <v>4</v>
      </c>
      <c r="F114" t="s">
        <v>3</v>
      </c>
      <c r="G114" s="2">
        <v>4646.759</v>
      </c>
      <c r="H114" s="1" t="str">
        <f>IF(A114&lt;31,"18-30",IF(A114&lt;46,"31-45",IF(A114&lt;61,"46-60","60+")))</f>
        <v>31-45</v>
      </c>
      <c r="I114" t="str">
        <f>IF(C114&lt;18.5,"Underweight",IF(C114&lt;25,"Normal",IF(C114&lt;30,"Overweight","Obese")))</f>
        <v>Obese</v>
      </c>
      <c r="J114">
        <f>IF(E114="yes",1,0)</f>
        <v>0</v>
      </c>
      <c r="K114" t="str">
        <f>IF(G114&gt;15000,"High","Low")</f>
        <v>Low</v>
      </c>
    </row>
    <row r="115" spans="1:11" x14ac:dyDescent="0.35">
      <c r="A115">
        <v>21</v>
      </c>
      <c r="B115" t="s">
        <v>2</v>
      </c>
      <c r="C115">
        <v>35.72</v>
      </c>
      <c r="D115">
        <v>0</v>
      </c>
      <c r="E115" t="s">
        <v>4</v>
      </c>
      <c r="F115" t="s">
        <v>0</v>
      </c>
      <c r="G115" s="2">
        <v>2404.7338</v>
      </c>
      <c r="H115" s="1" t="str">
        <f>IF(A115&lt;31,"18-30",IF(A115&lt;46,"31-45",IF(A115&lt;61,"46-60","60+")))</f>
        <v>18-30</v>
      </c>
      <c r="I115" t="str">
        <f>IF(C115&lt;18.5,"Underweight",IF(C115&lt;25,"Normal",IF(C115&lt;30,"Overweight","Obese")))</f>
        <v>Obese</v>
      </c>
      <c r="J115">
        <f>IF(E115="yes",1,0)</f>
        <v>0</v>
      </c>
      <c r="K115" t="str">
        <f>IF(G115&gt;15000,"High","Low")</f>
        <v>Low</v>
      </c>
    </row>
    <row r="116" spans="1:11" x14ac:dyDescent="0.35">
      <c r="A116">
        <v>52</v>
      </c>
      <c r="B116" t="s">
        <v>7</v>
      </c>
      <c r="C116">
        <v>32.204999999999998</v>
      </c>
      <c r="D116">
        <v>3</v>
      </c>
      <c r="E116" t="s">
        <v>4</v>
      </c>
      <c r="F116" t="s">
        <v>6</v>
      </c>
      <c r="G116" s="2">
        <v>11488.31695</v>
      </c>
      <c r="H116" s="1" t="str">
        <f>IF(A116&lt;31,"18-30",IF(A116&lt;46,"31-45",IF(A116&lt;61,"46-60","60+")))</f>
        <v>46-60</v>
      </c>
      <c r="I116" t="str">
        <f>IF(C116&lt;18.5,"Underweight",IF(C116&lt;25,"Normal",IF(C116&lt;30,"Overweight","Obese")))</f>
        <v>Obese</v>
      </c>
      <c r="J116">
        <f>IF(E116="yes",1,0)</f>
        <v>0</v>
      </c>
      <c r="K116" t="str">
        <f>IF(G116&gt;15000,"High","Low")</f>
        <v>Low</v>
      </c>
    </row>
    <row r="117" spans="1:11" x14ac:dyDescent="0.35">
      <c r="A117">
        <v>60</v>
      </c>
      <c r="B117" t="s">
        <v>7</v>
      </c>
      <c r="C117">
        <v>28.594999999999999</v>
      </c>
      <c r="D117">
        <v>0</v>
      </c>
      <c r="E117" t="s">
        <v>4</v>
      </c>
      <c r="F117" t="s">
        <v>6</v>
      </c>
      <c r="G117" s="2">
        <v>30259.995559999999</v>
      </c>
      <c r="H117" s="1" t="str">
        <f>IF(A117&lt;31,"18-30",IF(A117&lt;46,"31-45",IF(A117&lt;61,"46-60","60+")))</f>
        <v>46-60</v>
      </c>
      <c r="I117" t="str">
        <f>IF(C117&lt;18.5,"Underweight",IF(C117&lt;25,"Normal",IF(C117&lt;30,"Overweight","Obese")))</f>
        <v>Overweight</v>
      </c>
      <c r="J117">
        <f>IF(E117="yes",1,0)</f>
        <v>0</v>
      </c>
      <c r="K117" t="str">
        <f>IF(G117&gt;15000,"High","Low")</f>
        <v>High</v>
      </c>
    </row>
    <row r="118" spans="1:11" x14ac:dyDescent="0.35">
      <c r="A118">
        <v>58</v>
      </c>
      <c r="B118" t="s">
        <v>7</v>
      </c>
      <c r="C118">
        <v>49.06</v>
      </c>
      <c r="D118">
        <v>0</v>
      </c>
      <c r="E118" t="s">
        <v>4</v>
      </c>
      <c r="F118" t="s">
        <v>5</v>
      </c>
      <c r="G118" s="2">
        <v>11381.3254</v>
      </c>
      <c r="H118" s="1" t="str">
        <f>IF(A118&lt;31,"18-30",IF(A118&lt;46,"31-45",IF(A118&lt;61,"46-60","60+")))</f>
        <v>46-60</v>
      </c>
      <c r="I118" t="str">
        <f>IF(C118&lt;18.5,"Underweight",IF(C118&lt;25,"Normal",IF(C118&lt;30,"Overweight","Obese")))</f>
        <v>Obese</v>
      </c>
      <c r="J118">
        <f>IF(E118="yes",1,0)</f>
        <v>0</v>
      </c>
      <c r="K118" t="str">
        <f>IF(G118&gt;15000,"High","Low")</f>
        <v>Low</v>
      </c>
    </row>
    <row r="119" spans="1:11" x14ac:dyDescent="0.35">
      <c r="A119">
        <v>29</v>
      </c>
      <c r="B119" t="s">
        <v>2</v>
      </c>
      <c r="C119">
        <v>27.94</v>
      </c>
      <c r="D119">
        <v>1</v>
      </c>
      <c r="E119" t="s">
        <v>1</v>
      </c>
      <c r="F119" t="s">
        <v>5</v>
      </c>
      <c r="G119" s="2">
        <v>19107.779600000002</v>
      </c>
      <c r="H119" s="1" t="str">
        <f>IF(A119&lt;31,"18-30",IF(A119&lt;46,"31-45",IF(A119&lt;61,"46-60","60+")))</f>
        <v>18-30</v>
      </c>
      <c r="I119" t="str">
        <f>IF(C119&lt;18.5,"Underweight",IF(C119&lt;25,"Normal",IF(C119&lt;30,"Overweight","Obese")))</f>
        <v>Overweight</v>
      </c>
      <c r="J119">
        <f>IF(E119="yes",1,0)</f>
        <v>1</v>
      </c>
      <c r="K119" t="str">
        <f>IF(G119&gt;15000,"High","Low")</f>
        <v>High</v>
      </c>
    </row>
    <row r="120" spans="1:11" x14ac:dyDescent="0.35">
      <c r="A120">
        <v>49</v>
      </c>
      <c r="B120" t="s">
        <v>2</v>
      </c>
      <c r="C120">
        <v>27.17</v>
      </c>
      <c r="D120">
        <v>0</v>
      </c>
      <c r="E120" t="s">
        <v>4</v>
      </c>
      <c r="F120" t="s">
        <v>5</v>
      </c>
      <c r="G120" s="2">
        <v>8601.3292999999994</v>
      </c>
      <c r="H120" s="1" t="str">
        <f>IF(A120&lt;31,"18-30",IF(A120&lt;46,"31-45",IF(A120&lt;61,"46-60","60+")))</f>
        <v>46-60</v>
      </c>
      <c r="I120" t="str">
        <f>IF(C120&lt;18.5,"Underweight",IF(C120&lt;25,"Normal",IF(C120&lt;30,"Overweight","Obese")))</f>
        <v>Overweight</v>
      </c>
      <c r="J120">
        <f>IF(E120="yes",1,0)</f>
        <v>0</v>
      </c>
      <c r="K120" t="str">
        <f>IF(G120&gt;15000,"High","Low")</f>
        <v>Low</v>
      </c>
    </row>
    <row r="121" spans="1:11" x14ac:dyDescent="0.35">
      <c r="A121">
        <v>37</v>
      </c>
      <c r="B121" t="s">
        <v>2</v>
      </c>
      <c r="C121">
        <v>23.37</v>
      </c>
      <c r="D121">
        <v>2</v>
      </c>
      <c r="E121" t="s">
        <v>4</v>
      </c>
      <c r="F121" t="s">
        <v>0</v>
      </c>
      <c r="G121" s="2">
        <v>6686.4313000000002</v>
      </c>
      <c r="H121" s="1" t="str">
        <f>IF(A121&lt;31,"18-30",IF(A121&lt;46,"31-45",IF(A121&lt;61,"46-60","60+")))</f>
        <v>31-45</v>
      </c>
      <c r="I121" t="str">
        <f>IF(C121&lt;18.5,"Underweight",IF(C121&lt;25,"Normal",IF(C121&lt;30,"Overweight","Obese")))</f>
        <v>Normal</v>
      </c>
      <c r="J121">
        <f>IF(E121="yes",1,0)</f>
        <v>0</v>
      </c>
      <c r="K121" t="str">
        <f>IF(G121&gt;15000,"High","Low")</f>
        <v>Low</v>
      </c>
    </row>
    <row r="122" spans="1:11" x14ac:dyDescent="0.35">
      <c r="A122">
        <v>44</v>
      </c>
      <c r="B122" t="s">
        <v>7</v>
      </c>
      <c r="C122">
        <v>37.1</v>
      </c>
      <c r="D122">
        <v>2</v>
      </c>
      <c r="E122" t="s">
        <v>4</v>
      </c>
      <c r="F122" t="s">
        <v>3</v>
      </c>
      <c r="G122" s="2">
        <v>7740.3370000000004</v>
      </c>
      <c r="H122" s="1" t="str">
        <f>IF(A122&lt;31,"18-30",IF(A122&lt;46,"31-45",IF(A122&lt;61,"46-60","60+")))</f>
        <v>31-45</v>
      </c>
      <c r="I122" t="str">
        <f>IF(C122&lt;18.5,"Underweight",IF(C122&lt;25,"Normal",IF(C122&lt;30,"Overweight","Obese")))</f>
        <v>Obese</v>
      </c>
      <c r="J122">
        <f>IF(E122="yes",1,0)</f>
        <v>0</v>
      </c>
      <c r="K122" t="str">
        <f>IF(G122&gt;15000,"High","Low")</f>
        <v>Low</v>
      </c>
    </row>
    <row r="123" spans="1:11" x14ac:dyDescent="0.35">
      <c r="A123">
        <v>18</v>
      </c>
      <c r="B123" t="s">
        <v>7</v>
      </c>
      <c r="C123">
        <v>23.75</v>
      </c>
      <c r="D123">
        <v>0</v>
      </c>
      <c r="E123" t="s">
        <v>4</v>
      </c>
      <c r="F123" t="s">
        <v>6</v>
      </c>
      <c r="G123" s="2">
        <v>1705.6244999999999</v>
      </c>
      <c r="H123" s="1" t="str">
        <f>IF(A123&lt;31,"18-30",IF(A123&lt;46,"31-45",IF(A123&lt;61,"46-60","60+")))</f>
        <v>18-30</v>
      </c>
      <c r="I123" t="str">
        <f>IF(C123&lt;18.5,"Underweight",IF(C123&lt;25,"Normal",IF(C123&lt;30,"Overweight","Obese")))</f>
        <v>Normal</v>
      </c>
      <c r="J123">
        <f>IF(E123="yes",1,0)</f>
        <v>0</v>
      </c>
      <c r="K123" t="str">
        <f>IF(G123&gt;15000,"High","Low")</f>
        <v>Low</v>
      </c>
    </row>
    <row r="124" spans="1:11" x14ac:dyDescent="0.35">
      <c r="A124">
        <v>20</v>
      </c>
      <c r="B124" t="s">
        <v>2</v>
      </c>
      <c r="C124">
        <v>28.975000000000001</v>
      </c>
      <c r="D124">
        <v>0</v>
      </c>
      <c r="E124" t="s">
        <v>4</v>
      </c>
      <c r="F124" t="s">
        <v>0</v>
      </c>
      <c r="G124" s="2">
        <v>2257.47525</v>
      </c>
      <c r="H124" s="1" t="str">
        <f>IF(A124&lt;31,"18-30",IF(A124&lt;46,"31-45",IF(A124&lt;61,"46-60","60+")))</f>
        <v>18-30</v>
      </c>
      <c r="I124" t="str">
        <f>IF(C124&lt;18.5,"Underweight",IF(C124&lt;25,"Normal",IF(C124&lt;30,"Overweight","Obese")))</f>
        <v>Overweight</v>
      </c>
      <c r="J124">
        <f>IF(E124="yes",1,0)</f>
        <v>0</v>
      </c>
      <c r="K124" t="str">
        <f>IF(G124&gt;15000,"High","Low")</f>
        <v>Low</v>
      </c>
    </row>
    <row r="125" spans="1:11" x14ac:dyDescent="0.35">
      <c r="A125">
        <v>44</v>
      </c>
      <c r="B125" t="s">
        <v>7</v>
      </c>
      <c r="C125">
        <v>31.35</v>
      </c>
      <c r="D125">
        <v>1</v>
      </c>
      <c r="E125" t="s">
        <v>1</v>
      </c>
      <c r="F125" t="s">
        <v>6</v>
      </c>
      <c r="G125" s="2">
        <v>39556.494500000001</v>
      </c>
      <c r="H125" s="1" t="str">
        <f>IF(A125&lt;31,"18-30",IF(A125&lt;46,"31-45",IF(A125&lt;61,"46-60","60+")))</f>
        <v>31-45</v>
      </c>
      <c r="I125" t="str">
        <f>IF(C125&lt;18.5,"Underweight",IF(C125&lt;25,"Normal",IF(C125&lt;30,"Overweight","Obese")))</f>
        <v>Obese</v>
      </c>
      <c r="J125">
        <f>IF(E125="yes",1,0)</f>
        <v>1</v>
      </c>
      <c r="K125" t="str">
        <f>IF(G125&gt;15000,"High","Low")</f>
        <v>High</v>
      </c>
    </row>
    <row r="126" spans="1:11" x14ac:dyDescent="0.35">
      <c r="A126">
        <v>47</v>
      </c>
      <c r="B126" t="s">
        <v>2</v>
      </c>
      <c r="C126">
        <v>33.914999999999999</v>
      </c>
      <c r="D126">
        <v>3</v>
      </c>
      <c r="E126" t="s">
        <v>4</v>
      </c>
      <c r="F126" t="s">
        <v>0</v>
      </c>
      <c r="G126" s="2">
        <v>10115.00885</v>
      </c>
      <c r="H126" s="1" t="str">
        <f>IF(A126&lt;31,"18-30",IF(A126&lt;46,"31-45",IF(A126&lt;61,"46-60","60+")))</f>
        <v>46-60</v>
      </c>
      <c r="I126" t="str">
        <f>IF(C126&lt;18.5,"Underweight",IF(C126&lt;25,"Normal",IF(C126&lt;30,"Overweight","Obese")))</f>
        <v>Obese</v>
      </c>
      <c r="J126">
        <f>IF(E126="yes",1,0)</f>
        <v>0</v>
      </c>
      <c r="K126" t="str">
        <f>IF(G126&gt;15000,"High","Low")</f>
        <v>Low</v>
      </c>
    </row>
    <row r="127" spans="1:11" x14ac:dyDescent="0.35">
      <c r="A127">
        <v>26</v>
      </c>
      <c r="B127" t="s">
        <v>2</v>
      </c>
      <c r="C127">
        <v>28.785</v>
      </c>
      <c r="D127">
        <v>0</v>
      </c>
      <c r="E127" t="s">
        <v>4</v>
      </c>
      <c r="F127" t="s">
        <v>6</v>
      </c>
      <c r="G127" s="2">
        <v>3385.3991500000002</v>
      </c>
      <c r="H127" s="1" t="str">
        <f>IF(A127&lt;31,"18-30",IF(A127&lt;46,"31-45",IF(A127&lt;61,"46-60","60+")))</f>
        <v>18-30</v>
      </c>
      <c r="I127" t="str">
        <f>IF(C127&lt;18.5,"Underweight",IF(C127&lt;25,"Normal",IF(C127&lt;30,"Overweight","Obese")))</f>
        <v>Overweight</v>
      </c>
      <c r="J127">
        <f>IF(E127="yes",1,0)</f>
        <v>0</v>
      </c>
      <c r="K127" t="str">
        <f>IF(G127&gt;15000,"High","Low")</f>
        <v>Low</v>
      </c>
    </row>
    <row r="128" spans="1:11" x14ac:dyDescent="0.35">
      <c r="A128">
        <v>19</v>
      </c>
      <c r="B128" t="s">
        <v>2</v>
      </c>
      <c r="C128">
        <v>28.3</v>
      </c>
      <c r="D128">
        <v>0</v>
      </c>
      <c r="E128" t="s">
        <v>1</v>
      </c>
      <c r="F128" t="s">
        <v>3</v>
      </c>
      <c r="G128" s="2">
        <v>17081.080000000002</v>
      </c>
      <c r="H128" s="1" t="str">
        <f>IF(A128&lt;31,"18-30",IF(A128&lt;46,"31-45",IF(A128&lt;61,"46-60","60+")))</f>
        <v>18-30</v>
      </c>
      <c r="I128" t="str">
        <f>IF(C128&lt;18.5,"Underweight",IF(C128&lt;25,"Normal",IF(C128&lt;30,"Overweight","Obese")))</f>
        <v>Overweight</v>
      </c>
      <c r="J128">
        <f>IF(E128="yes",1,0)</f>
        <v>1</v>
      </c>
      <c r="K128" t="str">
        <f>IF(G128&gt;15000,"High","Low")</f>
        <v>High</v>
      </c>
    </row>
    <row r="129" spans="1:11" x14ac:dyDescent="0.35">
      <c r="A129">
        <v>52</v>
      </c>
      <c r="B129" t="s">
        <v>2</v>
      </c>
      <c r="C129">
        <v>37.4</v>
      </c>
      <c r="D129">
        <v>0</v>
      </c>
      <c r="E129" t="s">
        <v>4</v>
      </c>
      <c r="F129" t="s">
        <v>3</v>
      </c>
      <c r="G129" s="2">
        <v>9634.5380000000005</v>
      </c>
      <c r="H129" s="1" t="str">
        <f>IF(A129&lt;31,"18-30",IF(A129&lt;46,"31-45",IF(A129&lt;61,"46-60","60+")))</f>
        <v>46-60</v>
      </c>
      <c r="I129" t="str">
        <f>IF(C129&lt;18.5,"Underweight",IF(C129&lt;25,"Normal",IF(C129&lt;30,"Overweight","Obese")))</f>
        <v>Obese</v>
      </c>
      <c r="J129">
        <f>IF(E129="yes",1,0)</f>
        <v>0</v>
      </c>
      <c r="K129" t="str">
        <f>IF(G129&gt;15000,"High","Low")</f>
        <v>Low</v>
      </c>
    </row>
    <row r="130" spans="1:11" x14ac:dyDescent="0.35">
      <c r="A130">
        <v>32</v>
      </c>
      <c r="B130" t="s">
        <v>2</v>
      </c>
      <c r="C130">
        <v>17.765000000000001</v>
      </c>
      <c r="D130">
        <v>2</v>
      </c>
      <c r="E130" t="s">
        <v>1</v>
      </c>
      <c r="F130" t="s">
        <v>0</v>
      </c>
      <c r="G130" s="2">
        <v>32734.186300000001</v>
      </c>
      <c r="H130" s="1" t="str">
        <f>IF(A130&lt;31,"18-30",IF(A130&lt;46,"31-45",IF(A130&lt;61,"46-60","60+")))</f>
        <v>31-45</v>
      </c>
      <c r="I130" t="str">
        <f>IF(C130&lt;18.5,"Underweight",IF(C130&lt;25,"Normal",IF(C130&lt;30,"Overweight","Obese")))</f>
        <v>Underweight</v>
      </c>
      <c r="J130">
        <f>IF(E130="yes",1,0)</f>
        <v>1</v>
      </c>
      <c r="K130" t="str">
        <f>IF(G130&gt;15000,"High","Low")</f>
        <v>High</v>
      </c>
    </row>
    <row r="131" spans="1:11" x14ac:dyDescent="0.35">
      <c r="A131">
        <v>38</v>
      </c>
      <c r="B131" t="s">
        <v>7</v>
      </c>
      <c r="C131">
        <v>34.700000000000003</v>
      </c>
      <c r="D131">
        <v>2</v>
      </c>
      <c r="E131" t="s">
        <v>4</v>
      </c>
      <c r="F131" t="s">
        <v>3</v>
      </c>
      <c r="G131" s="2">
        <v>6082.4049999999997</v>
      </c>
      <c r="H131" s="1" t="str">
        <f>IF(A131&lt;31,"18-30",IF(A131&lt;46,"31-45",IF(A131&lt;61,"46-60","60+")))</f>
        <v>31-45</v>
      </c>
      <c r="I131" t="str">
        <f>IF(C131&lt;18.5,"Underweight",IF(C131&lt;25,"Normal",IF(C131&lt;30,"Overweight","Obese")))</f>
        <v>Obese</v>
      </c>
      <c r="J131">
        <f>IF(E131="yes",1,0)</f>
        <v>0</v>
      </c>
      <c r="K131" t="str">
        <f>IF(G131&gt;15000,"High","Low")</f>
        <v>Low</v>
      </c>
    </row>
    <row r="132" spans="1:11" x14ac:dyDescent="0.35">
      <c r="A132">
        <v>59</v>
      </c>
      <c r="B132" t="s">
        <v>2</v>
      </c>
      <c r="C132">
        <v>26.504999999999999</v>
      </c>
      <c r="D132">
        <v>0</v>
      </c>
      <c r="E132" t="s">
        <v>4</v>
      </c>
      <c r="F132" t="s">
        <v>6</v>
      </c>
      <c r="G132" s="2">
        <v>12815.444949999999</v>
      </c>
      <c r="H132" s="1" t="str">
        <f>IF(A132&lt;31,"18-30",IF(A132&lt;46,"31-45",IF(A132&lt;61,"46-60","60+")))</f>
        <v>46-60</v>
      </c>
      <c r="I132" t="str">
        <f>IF(C132&lt;18.5,"Underweight",IF(C132&lt;25,"Normal",IF(C132&lt;30,"Overweight","Obese")))</f>
        <v>Overweight</v>
      </c>
      <c r="J132">
        <f>IF(E132="yes",1,0)</f>
        <v>0</v>
      </c>
      <c r="K132" t="str">
        <f>IF(G132&gt;15000,"High","Low")</f>
        <v>Low</v>
      </c>
    </row>
    <row r="133" spans="1:11" x14ac:dyDescent="0.35">
      <c r="A133">
        <v>61</v>
      </c>
      <c r="B133" t="s">
        <v>2</v>
      </c>
      <c r="C133">
        <v>22.04</v>
      </c>
      <c r="D133">
        <v>0</v>
      </c>
      <c r="E133" t="s">
        <v>4</v>
      </c>
      <c r="F133" t="s">
        <v>6</v>
      </c>
      <c r="G133" s="2">
        <v>13616.3586</v>
      </c>
      <c r="H133" s="1" t="str">
        <f>IF(A133&lt;31,"18-30",IF(A133&lt;46,"31-45",IF(A133&lt;61,"46-60","60+")))</f>
        <v>60+</v>
      </c>
      <c r="I133" t="str">
        <f>IF(C133&lt;18.5,"Underweight",IF(C133&lt;25,"Normal",IF(C133&lt;30,"Overweight","Obese")))</f>
        <v>Normal</v>
      </c>
      <c r="J133">
        <f>IF(E133="yes",1,0)</f>
        <v>0</v>
      </c>
      <c r="K133" t="str">
        <f>IF(G133&gt;15000,"High","Low")</f>
        <v>Low</v>
      </c>
    </row>
    <row r="134" spans="1:11" x14ac:dyDescent="0.35">
      <c r="A134">
        <v>53</v>
      </c>
      <c r="B134" t="s">
        <v>2</v>
      </c>
      <c r="C134">
        <v>35.9</v>
      </c>
      <c r="D134">
        <v>2</v>
      </c>
      <c r="E134" t="s">
        <v>4</v>
      </c>
      <c r="F134" t="s">
        <v>3</v>
      </c>
      <c r="G134" s="2">
        <v>11163.567999999999</v>
      </c>
      <c r="H134" s="1" t="str">
        <f>IF(A134&lt;31,"18-30",IF(A134&lt;46,"31-45",IF(A134&lt;61,"46-60","60+")))</f>
        <v>46-60</v>
      </c>
      <c r="I134" t="str">
        <f>IF(C134&lt;18.5,"Underweight",IF(C134&lt;25,"Normal",IF(C134&lt;30,"Overweight","Obese")))</f>
        <v>Obese</v>
      </c>
      <c r="J134">
        <f>IF(E134="yes",1,0)</f>
        <v>0</v>
      </c>
      <c r="K134" t="str">
        <f>IF(G134&gt;15000,"High","Low")</f>
        <v>Low</v>
      </c>
    </row>
    <row r="135" spans="1:11" x14ac:dyDescent="0.35">
      <c r="A135">
        <v>19</v>
      </c>
      <c r="B135" t="s">
        <v>7</v>
      </c>
      <c r="C135">
        <v>25.555</v>
      </c>
      <c r="D135">
        <v>0</v>
      </c>
      <c r="E135" t="s">
        <v>4</v>
      </c>
      <c r="F135" t="s">
        <v>0</v>
      </c>
      <c r="G135" s="2">
        <v>1632.5644500000001</v>
      </c>
      <c r="H135" s="1" t="str">
        <f>IF(A135&lt;31,"18-30",IF(A135&lt;46,"31-45",IF(A135&lt;61,"46-60","60+")))</f>
        <v>18-30</v>
      </c>
      <c r="I135" t="str">
        <f>IF(C135&lt;18.5,"Underweight",IF(C135&lt;25,"Normal",IF(C135&lt;30,"Overweight","Obese")))</f>
        <v>Overweight</v>
      </c>
      <c r="J135">
        <f>IF(E135="yes",1,0)</f>
        <v>0</v>
      </c>
      <c r="K135" t="str">
        <f>IF(G135&gt;15000,"High","Low")</f>
        <v>Low</v>
      </c>
    </row>
    <row r="136" spans="1:11" x14ac:dyDescent="0.35">
      <c r="A136">
        <v>20</v>
      </c>
      <c r="B136" t="s">
        <v>2</v>
      </c>
      <c r="C136">
        <v>28.785</v>
      </c>
      <c r="D136">
        <v>0</v>
      </c>
      <c r="E136" t="s">
        <v>4</v>
      </c>
      <c r="F136" t="s">
        <v>6</v>
      </c>
      <c r="G136" s="2">
        <v>2457.2111500000001</v>
      </c>
      <c r="H136" s="1" t="str">
        <f>IF(A136&lt;31,"18-30",IF(A136&lt;46,"31-45",IF(A136&lt;61,"46-60","60+")))</f>
        <v>18-30</v>
      </c>
      <c r="I136" t="str">
        <f>IF(C136&lt;18.5,"Underweight",IF(C136&lt;25,"Normal",IF(C136&lt;30,"Overweight","Obese")))</f>
        <v>Overweight</v>
      </c>
      <c r="J136">
        <f>IF(E136="yes",1,0)</f>
        <v>0</v>
      </c>
      <c r="K136" t="str">
        <f>IF(G136&gt;15000,"High","Low")</f>
        <v>Low</v>
      </c>
    </row>
    <row r="137" spans="1:11" x14ac:dyDescent="0.35">
      <c r="A137">
        <v>22</v>
      </c>
      <c r="B137" t="s">
        <v>2</v>
      </c>
      <c r="C137">
        <v>28.05</v>
      </c>
      <c r="D137">
        <v>0</v>
      </c>
      <c r="E137" t="s">
        <v>4</v>
      </c>
      <c r="F137" t="s">
        <v>5</v>
      </c>
      <c r="G137" s="2">
        <v>2155.6815000000001</v>
      </c>
      <c r="H137" s="1" t="str">
        <f>IF(A137&lt;31,"18-30",IF(A137&lt;46,"31-45",IF(A137&lt;61,"46-60","60+")))</f>
        <v>18-30</v>
      </c>
      <c r="I137" t="str">
        <f>IF(C137&lt;18.5,"Underweight",IF(C137&lt;25,"Normal",IF(C137&lt;30,"Overweight","Obese")))</f>
        <v>Overweight</v>
      </c>
      <c r="J137">
        <f>IF(E137="yes",1,0)</f>
        <v>0</v>
      </c>
      <c r="K137" t="str">
        <f>IF(G137&gt;15000,"High","Low")</f>
        <v>Low</v>
      </c>
    </row>
    <row r="138" spans="1:11" x14ac:dyDescent="0.35">
      <c r="A138">
        <v>19</v>
      </c>
      <c r="B138" t="s">
        <v>7</v>
      </c>
      <c r="C138">
        <v>34.1</v>
      </c>
      <c r="D138">
        <v>0</v>
      </c>
      <c r="E138" t="s">
        <v>4</v>
      </c>
      <c r="F138" t="s">
        <v>3</v>
      </c>
      <c r="G138" s="2">
        <v>1261.442</v>
      </c>
      <c r="H138" s="1" t="str">
        <f>IF(A138&lt;31,"18-30",IF(A138&lt;46,"31-45",IF(A138&lt;61,"46-60","60+")))</f>
        <v>18-30</v>
      </c>
      <c r="I138" t="str">
        <f>IF(C138&lt;18.5,"Underweight",IF(C138&lt;25,"Normal",IF(C138&lt;30,"Overweight","Obese")))</f>
        <v>Obese</v>
      </c>
      <c r="J138">
        <f>IF(E138="yes",1,0)</f>
        <v>0</v>
      </c>
      <c r="K138" t="str">
        <f>IF(G138&gt;15000,"High","Low")</f>
        <v>Low</v>
      </c>
    </row>
    <row r="139" spans="1:11" x14ac:dyDescent="0.35">
      <c r="A139">
        <v>22</v>
      </c>
      <c r="B139" t="s">
        <v>7</v>
      </c>
      <c r="C139">
        <v>25.175000000000001</v>
      </c>
      <c r="D139">
        <v>0</v>
      </c>
      <c r="E139" t="s">
        <v>4</v>
      </c>
      <c r="F139" t="s">
        <v>0</v>
      </c>
      <c r="G139" s="2">
        <v>2045.68525</v>
      </c>
      <c r="H139" s="1" t="str">
        <f>IF(A139&lt;31,"18-30",IF(A139&lt;46,"31-45",IF(A139&lt;61,"46-60","60+")))</f>
        <v>18-30</v>
      </c>
      <c r="I139" t="str">
        <f>IF(C139&lt;18.5,"Underweight",IF(C139&lt;25,"Normal",IF(C139&lt;30,"Overweight","Obese")))</f>
        <v>Overweight</v>
      </c>
      <c r="J139">
        <f>IF(E139="yes",1,0)</f>
        <v>0</v>
      </c>
      <c r="K139" t="str">
        <f>IF(G139&gt;15000,"High","Low")</f>
        <v>Low</v>
      </c>
    </row>
    <row r="140" spans="1:11" x14ac:dyDescent="0.35">
      <c r="A140">
        <v>54</v>
      </c>
      <c r="B140" t="s">
        <v>2</v>
      </c>
      <c r="C140">
        <v>31.9</v>
      </c>
      <c r="D140">
        <v>3</v>
      </c>
      <c r="E140" t="s">
        <v>4</v>
      </c>
      <c r="F140" t="s">
        <v>5</v>
      </c>
      <c r="G140" s="2">
        <v>27322.73386</v>
      </c>
      <c r="H140" s="1" t="str">
        <f>IF(A140&lt;31,"18-30",IF(A140&lt;46,"31-45",IF(A140&lt;61,"46-60","60+")))</f>
        <v>46-60</v>
      </c>
      <c r="I140" t="str">
        <f>IF(C140&lt;18.5,"Underweight",IF(C140&lt;25,"Normal",IF(C140&lt;30,"Overweight","Obese")))</f>
        <v>Obese</v>
      </c>
      <c r="J140">
        <f>IF(E140="yes",1,0)</f>
        <v>0</v>
      </c>
      <c r="K140" t="str">
        <f>IF(G140&gt;15000,"High","Low")</f>
        <v>High</v>
      </c>
    </row>
    <row r="141" spans="1:11" x14ac:dyDescent="0.35">
      <c r="A141">
        <v>22</v>
      </c>
      <c r="B141" t="s">
        <v>2</v>
      </c>
      <c r="C141">
        <v>36</v>
      </c>
      <c r="D141">
        <v>0</v>
      </c>
      <c r="E141" t="s">
        <v>4</v>
      </c>
      <c r="F141" t="s">
        <v>3</v>
      </c>
      <c r="G141" s="2">
        <v>2166.732</v>
      </c>
      <c r="H141" s="1" t="str">
        <f>IF(A141&lt;31,"18-30",IF(A141&lt;46,"31-45",IF(A141&lt;61,"46-60","60+")))</f>
        <v>18-30</v>
      </c>
      <c r="I141" t="str">
        <f>IF(C141&lt;18.5,"Underweight",IF(C141&lt;25,"Normal",IF(C141&lt;30,"Overweight","Obese")))</f>
        <v>Obese</v>
      </c>
      <c r="J141">
        <f>IF(E141="yes",1,0)</f>
        <v>0</v>
      </c>
      <c r="K141" t="str">
        <f>IF(G141&gt;15000,"High","Low")</f>
        <v>Low</v>
      </c>
    </row>
    <row r="142" spans="1:11" x14ac:dyDescent="0.35">
      <c r="A142">
        <v>34</v>
      </c>
      <c r="B142" t="s">
        <v>7</v>
      </c>
      <c r="C142">
        <v>22.42</v>
      </c>
      <c r="D142">
        <v>2</v>
      </c>
      <c r="E142" t="s">
        <v>4</v>
      </c>
      <c r="F142" t="s">
        <v>6</v>
      </c>
      <c r="G142" s="2">
        <v>27375.904780000001</v>
      </c>
      <c r="H142" s="1" t="str">
        <f>IF(A142&lt;31,"18-30",IF(A142&lt;46,"31-45",IF(A142&lt;61,"46-60","60+")))</f>
        <v>31-45</v>
      </c>
      <c r="I142" t="str">
        <f>IF(C142&lt;18.5,"Underweight",IF(C142&lt;25,"Normal",IF(C142&lt;30,"Overweight","Obese")))</f>
        <v>Normal</v>
      </c>
      <c r="J142">
        <f>IF(E142="yes",1,0)</f>
        <v>0</v>
      </c>
      <c r="K142" t="str">
        <f>IF(G142&gt;15000,"High","Low")</f>
        <v>High</v>
      </c>
    </row>
    <row r="143" spans="1:11" x14ac:dyDescent="0.35">
      <c r="A143">
        <v>26</v>
      </c>
      <c r="B143" t="s">
        <v>7</v>
      </c>
      <c r="C143">
        <v>32.49</v>
      </c>
      <c r="D143">
        <v>1</v>
      </c>
      <c r="E143" t="s">
        <v>4</v>
      </c>
      <c r="F143" t="s">
        <v>6</v>
      </c>
      <c r="G143" s="2">
        <v>3490.5491000000002</v>
      </c>
      <c r="H143" s="1" t="str">
        <f>IF(A143&lt;31,"18-30",IF(A143&lt;46,"31-45",IF(A143&lt;61,"46-60","60+")))</f>
        <v>18-30</v>
      </c>
      <c r="I143" t="str">
        <f>IF(C143&lt;18.5,"Underweight",IF(C143&lt;25,"Normal",IF(C143&lt;30,"Overweight","Obese")))</f>
        <v>Obese</v>
      </c>
      <c r="J143">
        <f>IF(E143="yes",1,0)</f>
        <v>0</v>
      </c>
      <c r="K143" t="str">
        <f>IF(G143&gt;15000,"High","Low")</f>
        <v>Low</v>
      </c>
    </row>
    <row r="144" spans="1:11" x14ac:dyDescent="0.35">
      <c r="A144">
        <v>34</v>
      </c>
      <c r="B144" t="s">
        <v>7</v>
      </c>
      <c r="C144">
        <v>25.3</v>
      </c>
      <c r="D144">
        <v>2</v>
      </c>
      <c r="E144" t="s">
        <v>1</v>
      </c>
      <c r="F144" t="s">
        <v>5</v>
      </c>
      <c r="G144" s="2">
        <v>18972.494999999999</v>
      </c>
      <c r="H144" s="1" t="str">
        <f>IF(A144&lt;31,"18-30",IF(A144&lt;46,"31-45",IF(A144&lt;61,"46-60","60+")))</f>
        <v>31-45</v>
      </c>
      <c r="I144" t="str">
        <f>IF(C144&lt;18.5,"Underweight",IF(C144&lt;25,"Normal",IF(C144&lt;30,"Overweight","Obese")))</f>
        <v>Overweight</v>
      </c>
      <c r="J144">
        <f>IF(E144="yes",1,0)</f>
        <v>1</v>
      </c>
      <c r="K144" t="str">
        <f>IF(G144&gt;15000,"High","Low")</f>
        <v>High</v>
      </c>
    </row>
    <row r="145" spans="1:11" x14ac:dyDescent="0.35">
      <c r="A145">
        <v>29</v>
      </c>
      <c r="B145" t="s">
        <v>7</v>
      </c>
      <c r="C145">
        <v>29.734999999999999</v>
      </c>
      <c r="D145">
        <v>2</v>
      </c>
      <c r="E145" t="s">
        <v>4</v>
      </c>
      <c r="F145" t="s">
        <v>0</v>
      </c>
      <c r="G145" s="2">
        <v>18157.876</v>
      </c>
      <c r="H145" s="1" t="str">
        <f>IF(A145&lt;31,"18-30",IF(A145&lt;46,"31-45",IF(A145&lt;61,"46-60","60+")))</f>
        <v>18-30</v>
      </c>
      <c r="I145" t="str">
        <f>IF(C145&lt;18.5,"Underweight",IF(C145&lt;25,"Normal",IF(C145&lt;30,"Overweight","Obese")))</f>
        <v>Overweight</v>
      </c>
      <c r="J145">
        <f>IF(E145="yes",1,0)</f>
        <v>0</v>
      </c>
      <c r="K145" t="str">
        <f>IF(G145&gt;15000,"High","Low")</f>
        <v>High</v>
      </c>
    </row>
    <row r="146" spans="1:11" x14ac:dyDescent="0.35">
      <c r="A146">
        <v>30</v>
      </c>
      <c r="B146" t="s">
        <v>7</v>
      </c>
      <c r="C146">
        <v>28.69</v>
      </c>
      <c r="D146">
        <v>3</v>
      </c>
      <c r="E146" t="s">
        <v>1</v>
      </c>
      <c r="F146" t="s">
        <v>0</v>
      </c>
      <c r="G146" s="2">
        <v>20745.989099999999</v>
      </c>
      <c r="H146" s="1" t="str">
        <f>IF(A146&lt;31,"18-30",IF(A146&lt;46,"31-45",IF(A146&lt;61,"46-60","60+")))</f>
        <v>18-30</v>
      </c>
      <c r="I146" t="str">
        <f>IF(C146&lt;18.5,"Underweight",IF(C146&lt;25,"Normal",IF(C146&lt;30,"Overweight","Obese")))</f>
        <v>Overweight</v>
      </c>
      <c r="J146">
        <f>IF(E146="yes",1,0)</f>
        <v>1</v>
      </c>
      <c r="K146" t="str">
        <f>IF(G146&gt;15000,"High","Low")</f>
        <v>High</v>
      </c>
    </row>
    <row r="147" spans="1:11" x14ac:dyDescent="0.35">
      <c r="A147">
        <v>29</v>
      </c>
      <c r="B147" t="s">
        <v>2</v>
      </c>
      <c r="C147">
        <v>38.83</v>
      </c>
      <c r="D147">
        <v>3</v>
      </c>
      <c r="E147" t="s">
        <v>4</v>
      </c>
      <c r="F147" t="s">
        <v>5</v>
      </c>
      <c r="G147" s="2">
        <v>5138.2566999999999</v>
      </c>
      <c r="H147" s="1" t="str">
        <f>IF(A147&lt;31,"18-30",IF(A147&lt;46,"31-45",IF(A147&lt;61,"46-60","60+")))</f>
        <v>18-30</v>
      </c>
      <c r="I147" t="str">
        <f>IF(C147&lt;18.5,"Underweight",IF(C147&lt;25,"Normal",IF(C147&lt;30,"Overweight","Obese")))</f>
        <v>Obese</v>
      </c>
      <c r="J147">
        <f>IF(E147="yes",1,0)</f>
        <v>0</v>
      </c>
      <c r="K147" t="str">
        <f>IF(G147&gt;15000,"High","Low")</f>
        <v>Low</v>
      </c>
    </row>
    <row r="148" spans="1:11" x14ac:dyDescent="0.35">
      <c r="A148">
        <v>46</v>
      </c>
      <c r="B148" t="s">
        <v>7</v>
      </c>
      <c r="C148">
        <v>30.495000000000001</v>
      </c>
      <c r="D148">
        <v>3</v>
      </c>
      <c r="E148" t="s">
        <v>1</v>
      </c>
      <c r="F148" t="s">
        <v>0</v>
      </c>
      <c r="G148" s="2">
        <v>40720.551050000002</v>
      </c>
      <c r="H148" s="1" t="str">
        <f>IF(A148&lt;31,"18-30",IF(A148&lt;46,"31-45",IF(A148&lt;61,"46-60","60+")))</f>
        <v>46-60</v>
      </c>
      <c r="I148" t="str">
        <f>IF(C148&lt;18.5,"Underweight",IF(C148&lt;25,"Normal",IF(C148&lt;30,"Overweight","Obese")))</f>
        <v>Obese</v>
      </c>
      <c r="J148">
        <f>IF(E148="yes",1,0)</f>
        <v>1</v>
      </c>
      <c r="K148" t="str">
        <f>IF(G148&gt;15000,"High","Low")</f>
        <v>High</v>
      </c>
    </row>
    <row r="149" spans="1:11" x14ac:dyDescent="0.35">
      <c r="A149">
        <v>51</v>
      </c>
      <c r="B149" t="s">
        <v>2</v>
      </c>
      <c r="C149">
        <v>37.729999999999997</v>
      </c>
      <c r="D149">
        <v>1</v>
      </c>
      <c r="E149" t="s">
        <v>4</v>
      </c>
      <c r="F149" t="s">
        <v>5</v>
      </c>
      <c r="G149" s="2">
        <v>9877.6077000000005</v>
      </c>
      <c r="H149" s="1" t="str">
        <f>IF(A149&lt;31,"18-30",IF(A149&lt;46,"31-45",IF(A149&lt;61,"46-60","60+")))</f>
        <v>46-60</v>
      </c>
      <c r="I149" t="str">
        <f>IF(C149&lt;18.5,"Underweight",IF(C149&lt;25,"Normal",IF(C149&lt;30,"Overweight","Obese")))</f>
        <v>Obese</v>
      </c>
      <c r="J149">
        <f>IF(E149="yes",1,0)</f>
        <v>0</v>
      </c>
      <c r="K149" t="str">
        <f>IF(G149&gt;15000,"High","Low")</f>
        <v>Low</v>
      </c>
    </row>
    <row r="150" spans="1:11" x14ac:dyDescent="0.35">
      <c r="A150">
        <v>53</v>
      </c>
      <c r="B150" t="s">
        <v>2</v>
      </c>
      <c r="C150">
        <v>37.43</v>
      </c>
      <c r="D150">
        <v>1</v>
      </c>
      <c r="E150" t="s">
        <v>4</v>
      </c>
      <c r="F150" t="s">
        <v>0</v>
      </c>
      <c r="G150" s="2">
        <v>10959.6947</v>
      </c>
      <c r="H150" s="1" t="str">
        <f>IF(A150&lt;31,"18-30",IF(A150&lt;46,"31-45",IF(A150&lt;61,"46-60","60+")))</f>
        <v>46-60</v>
      </c>
      <c r="I150" t="str">
        <f>IF(C150&lt;18.5,"Underweight",IF(C150&lt;25,"Normal",IF(C150&lt;30,"Overweight","Obese")))</f>
        <v>Obese</v>
      </c>
      <c r="J150">
        <f>IF(E150="yes",1,0)</f>
        <v>0</v>
      </c>
      <c r="K150" t="str">
        <f>IF(G150&gt;15000,"High","Low")</f>
        <v>Low</v>
      </c>
    </row>
    <row r="151" spans="1:11" x14ac:dyDescent="0.35">
      <c r="A151">
        <v>19</v>
      </c>
      <c r="B151" t="s">
        <v>7</v>
      </c>
      <c r="C151">
        <v>28.4</v>
      </c>
      <c r="D151">
        <v>1</v>
      </c>
      <c r="E151" t="s">
        <v>4</v>
      </c>
      <c r="F151" t="s">
        <v>3</v>
      </c>
      <c r="G151" s="2">
        <v>1842.519</v>
      </c>
      <c r="H151" s="1" t="str">
        <f>IF(A151&lt;31,"18-30",IF(A151&lt;46,"31-45",IF(A151&lt;61,"46-60","60+")))</f>
        <v>18-30</v>
      </c>
      <c r="I151" t="str">
        <f>IF(C151&lt;18.5,"Underweight",IF(C151&lt;25,"Normal",IF(C151&lt;30,"Overweight","Obese")))</f>
        <v>Overweight</v>
      </c>
      <c r="J151">
        <f>IF(E151="yes",1,0)</f>
        <v>0</v>
      </c>
      <c r="K151" t="str">
        <f>IF(G151&gt;15000,"High","Low")</f>
        <v>Low</v>
      </c>
    </row>
    <row r="152" spans="1:11" x14ac:dyDescent="0.35">
      <c r="A152">
        <v>35</v>
      </c>
      <c r="B152" t="s">
        <v>7</v>
      </c>
      <c r="C152">
        <v>24.13</v>
      </c>
      <c r="D152">
        <v>1</v>
      </c>
      <c r="E152" t="s">
        <v>4</v>
      </c>
      <c r="F152" t="s">
        <v>0</v>
      </c>
      <c r="G152" s="2">
        <v>5125.2156999999997</v>
      </c>
      <c r="H152" s="1" t="str">
        <f>IF(A152&lt;31,"18-30",IF(A152&lt;46,"31-45",IF(A152&lt;61,"46-60","60+")))</f>
        <v>31-45</v>
      </c>
      <c r="I152" t="str">
        <f>IF(C152&lt;18.5,"Underweight",IF(C152&lt;25,"Normal",IF(C152&lt;30,"Overweight","Obese")))</f>
        <v>Normal</v>
      </c>
      <c r="J152">
        <f>IF(E152="yes",1,0)</f>
        <v>0</v>
      </c>
      <c r="K152" t="str">
        <f>IF(G152&gt;15000,"High","Low")</f>
        <v>Low</v>
      </c>
    </row>
    <row r="153" spans="1:11" x14ac:dyDescent="0.35">
      <c r="A153">
        <v>48</v>
      </c>
      <c r="B153" t="s">
        <v>7</v>
      </c>
      <c r="C153">
        <v>29.7</v>
      </c>
      <c r="D153">
        <v>0</v>
      </c>
      <c r="E153" t="s">
        <v>4</v>
      </c>
      <c r="F153" t="s">
        <v>5</v>
      </c>
      <c r="G153" s="2">
        <v>7789.6350000000002</v>
      </c>
      <c r="H153" s="1" t="str">
        <f>IF(A153&lt;31,"18-30",IF(A153&lt;46,"31-45",IF(A153&lt;61,"46-60","60+")))</f>
        <v>46-60</v>
      </c>
      <c r="I153" t="str">
        <f>IF(C153&lt;18.5,"Underweight",IF(C153&lt;25,"Normal",IF(C153&lt;30,"Overweight","Obese")))</f>
        <v>Overweight</v>
      </c>
      <c r="J153">
        <f>IF(E153="yes",1,0)</f>
        <v>0</v>
      </c>
      <c r="K153" t="str">
        <f>IF(G153&gt;15000,"High","Low")</f>
        <v>Low</v>
      </c>
    </row>
    <row r="154" spans="1:11" x14ac:dyDescent="0.35">
      <c r="A154">
        <v>32</v>
      </c>
      <c r="B154" t="s">
        <v>2</v>
      </c>
      <c r="C154">
        <v>37.145000000000003</v>
      </c>
      <c r="D154">
        <v>3</v>
      </c>
      <c r="E154" t="s">
        <v>4</v>
      </c>
      <c r="F154" t="s">
        <v>6</v>
      </c>
      <c r="G154" s="2">
        <v>6334.3435499999996</v>
      </c>
      <c r="H154" s="1" t="str">
        <f>IF(A154&lt;31,"18-30",IF(A154&lt;46,"31-45",IF(A154&lt;61,"46-60","60+")))</f>
        <v>31-45</v>
      </c>
      <c r="I154" t="str">
        <f>IF(C154&lt;18.5,"Underweight",IF(C154&lt;25,"Normal",IF(C154&lt;30,"Overweight","Obese")))</f>
        <v>Obese</v>
      </c>
      <c r="J154">
        <f>IF(E154="yes",1,0)</f>
        <v>0</v>
      </c>
      <c r="K154" t="str">
        <f>IF(G154&gt;15000,"High","Low")</f>
        <v>Low</v>
      </c>
    </row>
    <row r="155" spans="1:11" x14ac:dyDescent="0.35">
      <c r="A155">
        <v>42</v>
      </c>
      <c r="B155" t="s">
        <v>2</v>
      </c>
      <c r="C155">
        <v>23.37</v>
      </c>
      <c r="D155">
        <v>0</v>
      </c>
      <c r="E155" t="s">
        <v>1</v>
      </c>
      <c r="F155" t="s">
        <v>6</v>
      </c>
      <c r="G155" s="2">
        <v>19964.746299999999</v>
      </c>
      <c r="H155" s="1" t="str">
        <f>IF(A155&lt;31,"18-30",IF(A155&lt;46,"31-45",IF(A155&lt;61,"46-60","60+")))</f>
        <v>31-45</v>
      </c>
      <c r="I155" t="str">
        <f>IF(C155&lt;18.5,"Underweight",IF(C155&lt;25,"Normal",IF(C155&lt;30,"Overweight","Obese")))</f>
        <v>Normal</v>
      </c>
      <c r="J155">
        <f>IF(E155="yes",1,0)</f>
        <v>1</v>
      </c>
      <c r="K155" t="str">
        <f>IF(G155&gt;15000,"High","Low")</f>
        <v>High</v>
      </c>
    </row>
    <row r="156" spans="1:11" x14ac:dyDescent="0.35">
      <c r="A156">
        <v>40</v>
      </c>
      <c r="B156" t="s">
        <v>2</v>
      </c>
      <c r="C156">
        <v>25.46</v>
      </c>
      <c r="D156">
        <v>1</v>
      </c>
      <c r="E156" t="s">
        <v>4</v>
      </c>
      <c r="F156" t="s">
        <v>6</v>
      </c>
      <c r="G156" s="2">
        <v>7077.1894000000002</v>
      </c>
      <c r="H156" s="1" t="str">
        <f>IF(A156&lt;31,"18-30",IF(A156&lt;46,"31-45",IF(A156&lt;61,"46-60","60+")))</f>
        <v>31-45</v>
      </c>
      <c r="I156" t="str">
        <f>IF(C156&lt;18.5,"Underweight",IF(C156&lt;25,"Normal",IF(C156&lt;30,"Overweight","Obese")))</f>
        <v>Overweight</v>
      </c>
      <c r="J156">
        <f>IF(E156="yes",1,0)</f>
        <v>0</v>
      </c>
      <c r="K156" t="str">
        <f>IF(G156&gt;15000,"High","Low")</f>
        <v>Low</v>
      </c>
    </row>
    <row r="157" spans="1:11" x14ac:dyDescent="0.35">
      <c r="A157">
        <v>44</v>
      </c>
      <c r="B157" t="s">
        <v>7</v>
      </c>
      <c r="C157">
        <v>39.520000000000003</v>
      </c>
      <c r="D157">
        <v>0</v>
      </c>
      <c r="E157" t="s">
        <v>4</v>
      </c>
      <c r="F157" t="s">
        <v>0</v>
      </c>
      <c r="G157" s="2">
        <v>6948.7007999999996</v>
      </c>
      <c r="H157" s="1" t="str">
        <f>IF(A157&lt;31,"18-30",IF(A157&lt;46,"31-45",IF(A157&lt;61,"46-60","60+")))</f>
        <v>31-45</v>
      </c>
      <c r="I157" t="str">
        <f>IF(C157&lt;18.5,"Underweight",IF(C157&lt;25,"Normal",IF(C157&lt;30,"Overweight","Obese")))</f>
        <v>Obese</v>
      </c>
      <c r="J157">
        <f>IF(E157="yes",1,0)</f>
        <v>0</v>
      </c>
      <c r="K157" t="str">
        <f>IF(G157&gt;15000,"High","Low")</f>
        <v>Low</v>
      </c>
    </row>
    <row r="158" spans="1:11" x14ac:dyDescent="0.35">
      <c r="A158">
        <v>48</v>
      </c>
      <c r="B158" t="s">
        <v>7</v>
      </c>
      <c r="C158">
        <v>24.42</v>
      </c>
      <c r="D158">
        <v>0</v>
      </c>
      <c r="E158" t="s">
        <v>1</v>
      </c>
      <c r="F158" t="s">
        <v>5</v>
      </c>
      <c r="G158" s="2">
        <v>21223.675800000001</v>
      </c>
      <c r="H158" s="1" t="str">
        <f>IF(A158&lt;31,"18-30",IF(A158&lt;46,"31-45",IF(A158&lt;61,"46-60","60+")))</f>
        <v>46-60</v>
      </c>
      <c r="I158" t="str">
        <f>IF(C158&lt;18.5,"Underweight",IF(C158&lt;25,"Normal",IF(C158&lt;30,"Overweight","Obese")))</f>
        <v>Normal</v>
      </c>
      <c r="J158">
        <f>IF(E158="yes",1,0)</f>
        <v>1</v>
      </c>
      <c r="K158" t="str">
        <f>IF(G158&gt;15000,"High","Low")</f>
        <v>High</v>
      </c>
    </row>
    <row r="159" spans="1:11" x14ac:dyDescent="0.35">
      <c r="A159">
        <v>18</v>
      </c>
      <c r="B159" t="s">
        <v>7</v>
      </c>
      <c r="C159">
        <v>25.175000000000001</v>
      </c>
      <c r="D159">
        <v>0</v>
      </c>
      <c r="E159" t="s">
        <v>1</v>
      </c>
      <c r="F159" t="s">
        <v>6</v>
      </c>
      <c r="G159" s="2">
        <v>15518.180249999999</v>
      </c>
      <c r="H159" s="1" t="str">
        <f>IF(A159&lt;31,"18-30",IF(A159&lt;46,"31-45",IF(A159&lt;61,"46-60","60+")))</f>
        <v>18-30</v>
      </c>
      <c r="I159" t="str">
        <f>IF(C159&lt;18.5,"Underweight",IF(C159&lt;25,"Normal",IF(C159&lt;30,"Overweight","Obese")))</f>
        <v>Overweight</v>
      </c>
      <c r="J159">
        <f>IF(E159="yes",1,0)</f>
        <v>1</v>
      </c>
      <c r="K159" t="str">
        <f>IF(G159&gt;15000,"High","Low")</f>
        <v>High</v>
      </c>
    </row>
    <row r="160" spans="1:11" x14ac:dyDescent="0.35">
      <c r="A160">
        <v>30</v>
      </c>
      <c r="B160" t="s">
        <v>7</v>
      </c>
      <c r="C160">
        <v>35.53</v>
      </c>
      <c r="D160">
        <v>0</v>
      </c>
      <c r="E160" t="s">
        <v>1</v>
      </c>
      <c r="F160" t="s">
        <v>5</v>
      </c>
      <c r="G160" s="2">
        <v>36950.256699999998</v>
      </c>
      <c r="H160" s="1" t="str">
        <f>IF(A160&lt;31,"18-30",IF(A160&lt;46,"31-45",IF(A160&lt;61,"46-60","60+")))</f>
        <v>18-30</v>
      </c>
      <c r="I160" t="str">
        <f>IF(C160&lt;18.5,"Underweight",IF(C160&lt;25,"Normal",IF(C160&lt;30,"Overweight","Obese")))</f>
        <v>Obese</v>
      </c>
      <c r="J160">
        <f>IF(E160="yes",1,0)</f>
        <v>1</v>
      </c>
      <c r="K160" t="str">
        <f>IF(G160&gt;15000,"High","Low")</f>
        <v>High</v>
      </c>
    </row>
    <row r="161" spans="1:11" x14ac:dyDescent="0.35">
      <c r="A161">
        <v>50</v>
      </c>
      <c r="B161" t="s">
        <v>2</v>
      </c>
      <c r="C161">
        <v>27.83</v>
      </c>
      <c r="D161">
        <v>3</v>
      </c>
      <c r="E161" t="s">
        <v>4</v>
      </c>
      <c r="F161" t="s">
        <v>5</v>
      </c>
      <c r="G161" s="2">
        <v>19749.383379999999</v>
      </c>
      <c r="H161" s="1" t="str">
        <f>IF(A161&lt;31,"18-30",IF(A161&lt;46,"31-45",IF(A161&lt;61,"46-60","60+")))</f>
        <v>46-60</v>
      </c>
      <c r="I161" t="str">
        <f>IF(C161&lt;18.5,"Underweight",IF(C161&lt;25,"Normal",IF(C161&lt;30,"Overweight","Obese")))</f>
        <v>Overweight</v>
      </c>
      <c r="J161">
        <f>IF(E161="yes",1,0)</f>
        <v>0</v>
      </c>
      <c r="K161" t="str">
        <f>IF(G161&gt;15000,"High","Low")</f>
        <v>High</v>
      </c>
    </row>
    <row r="162" spans="1:11" x14ac:dyDescent="0.35">
      <c r="A162">
        <v>42</v>
      </c>
      <c r="B162" t="s">
        <v>2</v>
      </c>
      <c r="C162">
        <v>26.6</v>
      </c>
      <c r="D162">
        <v>0</v>
      </c>
      <c r="E162" t="s">
        <v>1</v>
      </c>
      <c r="F162" t="s">
        <v>0</v>
      </c>
      <c r="G162" s="2">
        <v>21348.705999999998</v>
      </c>
      <c r="H162" s="1" t="str">
        <f>IF(A162&lt;31,"18-30",IF(A162&lt;46,"31-45",IF(A162&lt;61,"46-60","60+")))</f>
        <v>31-45</v>
      </c>
      <c r="I162" t="str">
        <f>IF(C162&lt;18.5,"Underweight",IF(C162&lt;25,"Normal",IF(C162&lt;30,"Overweight","Obese")))</f>
        <v>Overweight</v>
      </c>
      <c r="J162">
        <f>IF(E162="yes",1,0)</f>
        <v>1</v>
      </c>
      <c r="K162" t="str">
        <f>IF(G162&gt;15000,"High","Low")</f>
        <v>High</v>
      </c>
    </row>
    <row r="163" spans="1:11" x14ac:dyDescent="0.35">
      <c r="A163">
        <v>18</v>
      </c>
      <c r="B163" t="s">
        <v>2</v>
      </c>
      <c r="C163">
        <v>36.85</v>
      </c>
      <c r="D163">
        <v>0</v>
      </c>
      <c r="E163" t="s">
        <v>1</v>
      </c>
      <c r="F163" t="s">
        <v>5</v>
      </c>
      <c r="G163" s="2">
        <v>36149.483500000002</v>
      </c>
      <c r="H163" s="1" t="str">
        <f>IF(A163&lt;31,"18-30",IF(A163&lt;46,"31-45",IF(A163&lt;61,"46-60","60+")))</f>
        <v>18-30</v>
      </c>
      <c r="I163" t="str">
        <f>IF(C163&lt;18.5,"Underweight",IF(C163&lt;25,"Normal",IF(C163&lt;30,"Overweight","Obese")))</f>
        <v>Obese</v>
      </c>
      <c r="J163">
        <f>IF(E163="yes",1,0)</f>
        <v>1</v>
      </c>
      <c r="K163" t="str">
        <f>IF(G163&gt;15000,"High","Low")</f>
        <v>High</v>
      </c>
    </row>
    <row r="164" spans="1:11" x14ac:dyDescent="0.35">
      <c r="A164">
        <v>54</v>
      </c>
      <c r="B164" t="s">
        <v>7</v>
      </c>
      <c r="C164">
        <v>39.6</v>
      </c>
      <c r="D164">
        <v>1</v>
      </c>
      <c r="E164" t="s">
        <v>4</v>
      </c>
      <c r="F164" t="s">
        <v>3</v>
      </c>
      <c r="G164" s="2">
        <v>10450.552</v>
      </c>
      <c r="H164" s="1" t="str">
        <f>IF(A164&lt;31,"18-30",IF(A164&lt;46,"31-45",IF(A164&lt;61,"46-60","60+")))</f>
        <v>46-60</v>
      </c>
      <c r="I164" t="str">
        <f>IF(C164&lt;18.5,"Underweight",IF(C164&lt;25,"Normal",IF(C164&lt;30,"Overweight","Obese")))</f>
        <v>Obese</v>
      </c>
      <c r="J164">
        <f>IF(E164="yes",1,0)</f>
        <v>0</v>
      </c>
      <c r="K164" t="str">
        <f>IF(G164&gt;15000,"High","Low")</f>
        <v>Low</v>
      </c>
    </row>
    <row r="165" spans="1:11" x14ac:dyDescent="0.35">
      <c r="A165">
        <v>32</v>
      </c>
      <c r="B165" t="s">
        <v>2</v>
      </c>
      <c r="C165">
        <v>29.8</v>
      </c>
      <c r="D165">
        <v>2</v>
      </c>
      <c r="E165" t="s">
        <v>4</v>
      </c>
      <c r="F165" t="s">
        <v>3</v>
      </c>
      <c r="G165" s="2">
        <v>5152.134</v>
      </c>
      <c r="H165" s="1" t="str">
        <f>IF(A165&lt;31,"18-30",IF(A165&lt;46,"31-45",IF(A165&lt;61,"46-60","60+")))</f>
        <v>31-45</v>
      </c>
      <c r="I165" t="str">
        <f>IF(C165&lt;18.5,"Underweight",IF(C165&lt;25,"Normal",IF(C165&lt;30,"Overweight","Obese")))</f>
        <v>Overweight</v>
      </c>
      <c r="J165">
        <f>IF(E165="yes",1,0)</f>
        <v>0</v>
      </c>
      <c r="K165" t="str">
        <f>IF(G165&gt;15000,"High","Low")</f>
        <v>Low</v>
      </c>
    </row>
    <row r="166" spans="1:11" x14ac:dyDescent="0.35">
      <c r="A166">
        <v>37</v>
      </c>
      <c r="B166" t="s">
        <v>7</v>
      </c>
      <c r="C166">
        <v>29.64</v>
      </c>
      <c r="D166">
        <v>0</v>
      </c>
      <c r="E166" t="s">
        <v>4</v>
      </c>
      <c r="F166" t="s">
        <v>0</v>
      </c>
      <c r="G166" s="2">
        <v>5028.1466</v>
      </c>
      <c r="H166" s="1" t="str">
        <f>IF(A166&lt;31,"18-30",IF(A166&lt;46,"31-45",IF(A166&lt;61,"46-60","60+")))</f>
        <v>31-45</v>
      </c>
      <c r="I166" t="str">
        <f>IF(C166&lt;18.5,"Underweight",IF(C166&lt;25,"Normal",IF(C166&lt;30,"Overweight","Obese")))</f>
        <v>Overweight</v>
      </c>
      <c r="J166">
        <f>IF(E166="yes",1,0)</f>
        <v>0</v>
      </c>
      <c r="K166" t="str">
        <f>IF(G166&gt;15000,"High","Low")</f>
        <v>Low</v>
      </c>
    </row>
    <row r="167" spans="1:11" x14ac:dyDescent="0.35">
      <c r="A167">
        <v>47</v>
      </c>
      <c r="B167" t="s">
        <v>7</v>
      </c>
      <c r="C167">
        <v>28.215</v>
      </c>
      <c r="D167">
        <v>4</v>
      </c>
      <c r="E167" t="s">
        <v>4</v>
      </c>
      <c r="F167" t="s">
        <v>6</v>
      </c>
      <c r="G167" s="2">
        <v>10407.085849999999</v>
      </c>
      <c r="H167" s="1" t="str">
        <f>IF(A167&lt;31,"18-30",IF(A167&lt;46,"31-45",IF(A167&lt;61,"46-60","60+")))</f>
        <v>46-60</v>
      </c>
      <c r="I167" t="str">
        <f>IF(C167&lt;18.5,"Underweight",IF(C167&lt;25,"Normal",IF(C167&lt;30,"Overweight","Obese")))</f>
        <v>Overweight</v>
      </c>
      <c r="J167">
        <f>IF(E167="yes",1,0)</f>
        <v>0</v>
      </c>
      <c r="K167" t="str">
        <f>IF(G167&gt;15000,"High","Low")</f>
        <v>Low</v>
      </c>
    </row>
    <row r="168" spans="1:11" x14ac:dyDescent="0.35">
      <c r="A168">
        <v>20</v>
      </c>
      <c r="B168" t="s">
        <v>2</v>
      </c>
      <c r="C168">
        <v>37</v>
      </c>
      <c r="D168">
        <v>5</v>
      </c>
      <c r="E168" t="s">
        <v>4</v>
      </c>
      <c r="F168" t="s">
        <v>3</v>
      </c>
      <c r="G168" s="2">
        <v>4830.63</v>
      </c>
      <c r="H168" s="1" t="str">
        <f>IF(A168&lt;31,"18-30",IF(A168&lt;46,"31-45",IF(A168&lt;61,"46-60","60+")))</f>
        <v>18-30</v>
      </c>
      <c r="I168" t="str">
        <f>IF(C168&lt;18.5,"Underweight",IF(C168&lt;25,"Normal",IF(C168&lt;30,"Overweight","Obese")))</f>
        <v>Obese</v>
      </c>
      <c r="J168">
        <f>IF(E168="yes",1,0)</f>
        <v>0</v>
      </c>
      <c r="K168" t="str">
        <f>IF(G168&gt;15000,"High","Low")</f>
        <v>Low</v>
      </c>
    </row>
    <row r="169" spans="1:11" x14ac:dyDescent="0.35">
      <c r="A169">
        <v>32</v>
      </c>
      <c r="B169" t="s">
        <v>2</v>
      </c>
      <c r="C169">
        <v>33.155000000000001</v>
      </c>
      <c r="D169">
        <v>3</v>
      </c>
      <c r="E169" t="s">
        <v>4</v>
      </c>
      <c r="F169" t="s">
        <v>0</v>
      </c>
      <c r="G169" s="2">
        <v>6128.79745</v>
      </c>
      <c r="H169" s="1" t="str">
        <f>IF(A169&lt;31,"18-30",IF(A169&lt;46,"31-45",IF(A169&lt;61,"46-60","60+")))</f>
        <v>31-45</v>
      </c>
      <c r="I169" t="str">
        <f>IF(C169&lt;18.5,"Underweight",IF(C169&lt;25,"Normal",IF(C169&lt;30,"Overweight","Obese")))</f>
        <v>Obese</v>
      </c>
      <c r="J169">
        <f>IF(E169="yes",1,0)</f>
        <v>0</v>
      </c>
      <c r="K169" t="str">
        <f>IF(G169&gt;15000,"High","Low")</f>
        <v>Low</v>
      </c>
    </row>
    <row r="170" spans="1:11" x14ac:dyDescent="0.35">
      <c r="A170">
        <v>19</v>
      </c>
      <c r="B170" t="s">
        <v>2</v>
      </c>
      <c r="C170">
        <v>31.824999999999999</v>
      </c>
      <c r="D170">
        <v>1</v>
      </c>
      <c r="E170" t="s">
        <v>4</v>
      </c>
      <c r="F170" t="s">
        <v>0</v>
      </c>
      <c r="G170" s="2">
        <v>2719.2797500000001</v>
      </c>
      <c r="H170" s="1" t="str">
        <f>IF(A170&lt;31,"18-30",IF(A170&lt;46,"31-45",IF(A170&lt;61,"46-60","60+")))</f>
        <v>18-30</v>
      </c>
      <c r="I170" t="str">
        <f>IF(C170&lt;18.5,"Underweight",IF(C170&lt;25,"Normal",IF(C170&lt;30,"Overweight","Obese")))</f>
        <v>Obese</v>
      </c>
      <c r="J170">
        <f>IF(E170="yes",1,0)</f>
        <v>0</v>
      </c>
      <c r="K170" t="str">
        <f>IF(G170&gt;15000,"High","Low")</f>
        <v>Low</v>
      </c>
    </row>
    <row r="171" spans="1:11" x14ac:dyDescent="0.35">
      <c r="A171">
        <v>27</v>
      </c>
      <c r="B171" t="s">
        <v>7</v>
      </c>
      <c r="C171">
        <v>18.905000000000001</v>
      </c>
      <c r="D171">
        <v>3</v>
      </c>
      <c r="E171" t="s">
        <v>4</v>
      </c>
      <c r="F171" t="s">
        <v>6</v>
      </c>
      <c r="G171" s="2">
        <v>4827.9049500000001</v>
      </c>
      <c r="H171" s="1" t="str">
        <f>IF(A171&lt;31,"18-30",IF(A171&lt;46,"31-45",IF(A171&lt;61,"46-60","60+")))</f>
        <v>18-30</v>
      </c>
      <c r="I171" t="str">
        <f>IF(C171&lt;18.5,"Underweight",IF(C171&lt;25,"Normal",IF(C171&lt;30,"Overweight","Obese")))</f>
        <v>Normal</v>
      </c>
      <c r="J171">
        <f>IF(E171="yes",1,0)</f>
        <v>0</v>
      </c>
      <c r="K171" t="str">
        <f>IF(G171&gt;15000,"High","Low")</f>
        <v>Low</v>
      </c>
    </row>
    <row r="172" spans="1:11" x14ac:dyDescent="0.35">
      <c r="A172">
        <v>63</v>
      </c>
      <c r="B172" t="s">
        <v>7</v>
      </c>
      <c r="C172">
        <v>41.47</v>
      </c>
      <c r="D172">
        <v>0</v>
      </c>
      <c r="E172" t="s">
        <v>4</v>
      </c>
      <c r="F172" t="s">
        <v>5</v>
      </c>
      <c r="G172" s="2">
        <v>13405.390299999999</v>
      </c>
      <c r="H172" s="1" t="str">
        <f>IF(A172&lt;31,"18-30",IF(A172&lt;46,"31-45",IF(A172&lt;61,"46-60","60+")))</f>
        <v>60+</v>
      </c>
      <c r="I172" t="str">
        <f>IF(C172&lt;18.5,"Underweight",IF(C172&lt;25,"Normal",IF(C172&lt;30,"Overweight","Obese")))</f>
        <v>Obese</v>
      </c>
      <c r="J172">
        <f>IF(E172="yes",1,0)</f>
        <v>0</v>
      </c>
      <c r="K172" t="str">
        <f>IF(G172&gt;15000,"High","Low")</f>
        <v>Low</v>
      </c>
    </row>
    <row r="173" spans="1:11" x14ac:dyDescent="0.35">
      <c r="A173">
        <v>49</v>
      </c>
      <c r="B173" t="s">
        <v>7</v>
      </c>
      <c r="C173">
        <v>30.3</v>
      </c>
      <c r="D173">
        <v>0</v>
      </c>
      <c r="E173" t="s">
        <v>4</v>
      </c>
      <c r="F173" t="s">
        <v>3</v>
      </c>
      <c r="G173" s="2">
        <v>8116.68</v>
      </c>
      <c r="H173" s="1" t="str">
        <f>IF(A173&lt;31,"18-30",IF(A173&lt;46,"31-45",IF(A173&lt;61,"46-60","60+")))</f>
        <v>46-60</v>
      </c>
      <c r="I173" t="str">
        <f>IF(C173&lt;18.5,"Underweight",IF(C173&lt;25,"Normal",IF(C173&lt;30,"Overweight","Obese")))</f>
        <v>Obese</v>
      </c>
      <c r="J173">
        <f>IF(E173="yes",1,0)</f>
        <v>0</v>
      </c>
      <c r="K173" t="str">
        <f>IF(G173&gt;15000,"High","Low")</f>
        <v>Low</v>
      </c>
    </row>
    <row r="174" spans="1:11" x14ac:dyDescent="0.35">
      <c r="A174">
        <v>18</v>
      </c>
      <c r="B174" t="s">
        <v>7</v>
      </c>
      <c r="C174">
        <v>15.96</v>
      </c>
      <c r="D174">
        <v>0</v>
      </c>
      <c r="E174" t="s">
        <v>4</v>
      </c>
      <c r="F174" t="s">
        <v>6</v>
      </c>
      <c r="G174" s="2">
        <v>1694.7963999999999</v>
      </c>
      <c r="H174" s="1" t="str">
        <f>IF(A174&lt;31,"18-30",IF(A174&lt;46,"31-45",IF(A174&lt;61,"46-60","60+")))</f>
        <v>18-30</v>
      </c>
      <c r="I174" t="str">
        <f>IF(C174&lt;18.5,"Underweight",IF(C174&lt;25,"Normal",IF(C174&lt;30,"Overweight","Obese")))</f>
        <v>Underweight</v>
      </c>
      <c r="J174">
        <f>IF(E174="yes",1,0)</f>
        <v>0</v>
      </c>
      <c r="K174" t="str">
        <f>IF(G174&gt;15000,"High","Low")</f>
        <v>Low</v>
      </c>
    </row>
    <row r="175" spans="1:11" x14ac:dyDescent="0.35">
      <c r="A175">
        <v>35</v>
      </c>
      <c r="B175" t="s">
        <v>2</v>
      </c>
      <c r="C175">
        <v>34.799999999999997</v>
      </c>
      <c r="D175">
        <v>1</v>
      </c>
      <c r="E175" t="s">
        <v>4</v>
      </c>
      <c r="F175" t="s">
        <v>3</v>
      </c>
      <c r="G175" s="2">
        <v>5246.0469999999996</v>
      </c>
      <c r="H175" s="1" t="str">
        <f>IF(A175&lt;31,"18-30",IF(A175&lt;46,"31-45",IF(A175&lt;61,"46-60","60+")))</f>
        <v>31-45</v>
      </c>
      <c r="I175" t="str">
        <f>IF(C175&lt;18.5,"Underweight",IF(C175&lt;25,"Normal",IF(C175&lt;30,"Overweight","Obese")))</f>
        <v>Obese</v>
      </c>
      <c r="J175">
        <f>IF(E175="yes",1,0)</f>
        <v>0</v>
      </c>
      <c r="K175" t="str">
        <f>IF(G175&gt;15000,"High","Low")</f>
        <v>Low</v>
      </c>
    </row>
    <row r="176" spans="1:11" x14ac:dyDescent="0.35">
      <c r="A176">
        <v>24</v>
      </c>
      <c r="B176" t="s">
        <v>2</v>
      </c>
      <c r="C176">
        <v>33.344999999999999</v>
      </c>
      <c r="D176">
        <v>0</v>
      </c>
      <c r="E176" t="s">
        <v>4</v>
      </c>
      <c r="F176" t="s">
        <v>0</v>
      </c>
      <c r="G176" s="2">
        <v>2855.4375500000001</v>
      </c>
      <c r="H176" s="1" t="str">
        <f>IF(A176&lt;31,"18-30",IF(A176&lt;46,"31-45",IF(A176&lt;61,"46-60","60+")))</f>
        <v>18-30</v>
      </c>
      <c r="I176" t="str">
        <f>IF(C176&lt;18.5,"Underweight",IF(C176&lt;25,"Normal",IF(C176&lt;30,"Overweight","Obese")))</f>
        <v>Obese</v>
      </c>
      <c r="J176">
        <f>IF(E176="yes",1,0)</f>
        <v>0</v>
      </c>
      <c r="K176" t="str">
        <f>IF(G176&gt;15000,"High","Low")</f>
        <v>Low</v>
      </c>
    </row>
    <row r="177" spans="1:11" x14ac:dyDescent="0.35">
      <c r="A177">
        <v>63</v>
      </c>
      <c r="B177" t="s">
        <v>2</v>
      </c>
      <c r="C177">
        <v>37.700000000000003</v>
      </c>
      <c r="D177">
        <v>0</v>
      </c>
      <c r="E177" t="s">
        <v>1</v>
      </c>
      <c r="F177" t="s">
        <v>3</v>
      </c>
      <c r="G177" s="2">
        <v>48824.45</v>
      </c>
      <c r="H177" s="1" t="str">
        <f>IF(A177&lt;31,"18-30",IF(A177&lt;46,"31-45",IF(A177&lt;61,"46-60","60+")))</f>
        <v>60+</v>
      </c>
      <c r="I177" t="str">
        <f>IF(C177&lt;18.5,"Underweight",IF(C177&lt;25,"Normal",IF(C177&lt;30,"Overweight","Obese")))</f>
        <v>Obese</v>
      </c>
      <c r="J177">
        <f>IF(E177="yes",1,0)</f>
        <v>1</v>
      </c>
      <c r="K177" t="str">
        <f>IF(G177&gt;15000,"High","Low")</f>
        <v>High</v>
      </c>
    </row>
    <row r="178" spans="1:11" x14ac:dyDescent="0.35">
      <c r="A178">
        <v>38</v>
      </c>
      <c r="B178" t="s">
        <v>7</v>
      </c>
      <c r="C178">
        <v>27.835000000000001</v>
      </c>
      <c r="D178">
        <v>2</v>
      </c>
      <c r="E178" t="s">
        <v>4</v>
      </c>
      <c r="F178" t="s">
        <v>0</v>
      </c>
      <c r="G178" s="2">
        <v>6455.86265</v>
      </c>
      <c r="H178" s="1" t="str">
        <f>IF(A178&lt;31,"18-30",IF(A178&lt;46,"31-45",IF(A178&lt;61,"46-60","60+")))</f>
        <v>31-45</v>
      </c>
      <c r="I178" t="str">
        <f>IF(C178&lt;18.5,"Underweight",IF(C178&lt;25,"Normal",IF(C178&lt;30,"Overweight","Obese")))</f>
        <v>Overweight</v>
      </c>
      <c r="J178">
        <f>IF(E178="yes",1,0)</f>
        <v>0</v>
      </c>
      <c r="K178" t="str">
        <f>IF(G178&gt;15000,"High","Low")</f>
        <v>Low</v>
      </c>
    </row>
    <row r="179" spans="1:11" x14ac:dyDescent="0.35">
      <c r="A179">
        <v>54</v>
      </c>
      <c r="B179" t="s">
        <v>7</v>
      </c>
      <c r="C179">
        <v>29.2</v>
      </c>
      <c r="D179">
        <v>1</v>
      </c>
      <c r="E179" t="s">
        <v>4</v>
      </c>
      <c r="F179" t="s">
        <v>3</v>
      </c>
      <c r="G179" s="2">
        <v>10436.096</v>
      </c>
      <c r="H179" s="1" t="str">
        <f>IF(A179&lt;31,"18-30",IF(A179&lt;46,"31-45",IF(A179&lt;61,"46-60","60+")))</f>
        <v>46-60</v>
      </c>
      <c r="I179" t="str">
        <f>IF(C179&lt;18.5,"Underweight",IF(C179&lt;25,"Normal",IF(C179&lt;30,"Overweight","Obese")))</f>
        <v>Overweight</v>
      </c>
      <c r="J179">
        <f>IF(E179="yes",1,0)</f>
        <v>0</v>
      </c>
      <c r="K179" t="str">
        <f>IF(G179&gt;15000,"High","Low")</f>
        <v>Low</v>
      </c>
    </row>
    <row r="180" spans="1:11" x14ac:dyDescent="0.35">
      <c r="A180">
        <v>46</v>
      </c>
      <c r="B180" t="s">
        <v>2</v>
      </c>
      <c r="C180">
        <v>28.9</v>
      </c>
      <c r="D180">
        <v>2</v>
      </c>
      <c r="E180" t="s">
        <v>4</v>
      </c>
      <c r="F180" t="s">
        <v>3</v>
      </c>
      <c r="G180" s="2">
        <v>8823.2790000000005</v>
      </c>
      <c r="H180" s="1" t="str">
        <f>IF(A180&lt;31,"18-30",IF(A180&lt;46,"31-45",IF(A180&lt;61,"46-60","60+")))</f>
        <v>46-60</v>
      </c>
      <c r="I180" t="str">
        <f>IF(C180&lt;18.5,"Underweight",IF(C180&lt;25,"Normal",IF(C180&lt;30,"Overweight","Obese")))</f>
        <v>Overweight</v>
      </c>
      <c r="J180">
        <f>IF(E180="yes",1,0)</f>
        <v>0</v>
      </c>
      <c r="K180" t="str">
        <f>IF(G180&gt;15000,"High","Low")</f>
        <v>Low</v>
      </c>
    </row>
    <row r="181" spans="1:11" x14ac:dyDescent="0.35">
      <c r="A181">
        <v>41</v>
      </c>
      <c r="B181" t="s">
        <v>2</v>
      </c>
      <c r="C181">
        <v>33.155000000000001</v>
      </c>
      <c r="D181">
        <v>3</v>
      </c>
      <c r="E181" t="s">
        <v>4</v>
      </c>
      <c r="F181" t="s">
        <v>6</v>
      </c>
      <c r="G181" s="2">
        <v>8538.28845</v>
      </c>
      <c r="H181" s="1" t="str">
        <f>IF(A181&lt;31,"18-30",IF(A181&lt;46,"31-45",IF(A181&lt;61,"46-60","60+")))</f>
        <v>31-45</v>
      </c>
      <c r="I181" t="str">
        <f>IF(C181&lt;18.5,"Underweight",IF(C181&lt;25,"Normal",IF(C181&lt;30,"Overweight","Obese")))</f>
        <v>Obese</v>
      </c>
      <c r="J181">
        <f>IF(E181="yes",1,0)</f>
        <v>0</v>
      </c>
      <c r="K181" t="str">
        <f>IF(G181&gt;15000,"High","Low")</f>
        <v>Low</v>
      </c>
    </row>
    <row r="182" spans="1:11" x14ac:dyDescent="0.35">
      <c r="A182">
        <v>58</v>
      </c>
      <c r="B182" t="s">
        <v>7</v>
      </c>
      <c r="C182">
        <v>28.594999999999999</v>
      </c>
      <c r="D182">
        <v>0</v>
      </c>
      <c r="E182" t="s">
        <v>4</v>
      </c>
      <c r="F182" t="s">
        <v>0</v>
      </c>
      <c r="G182" s="2">
        <v>11735.87905</v>
      </c>
      <c r="H182" s="1" t="str">
        <f>IF(A182&lt;31,"18-30",IF(A182&lt;46,"31-45",IF(A182&lt;61,"46-60","60+")))</f>
        <v>46-60</v>
      </c>
      <c r="I182" t="str">
        <f>IF(C182&lt;18.5,"Underweight",IF(C182&lt;25,"Normal",IF(C182&lt;30,"Overweight","Obese")))</f>
        <v>Overweight</v>
      </c>
      <c r="J182">
        <f>IF(E182="yes",1,0)</f>
        <v>0</v>
      </c>
      <c r="K182" t="str">
        <f>IF(G182&gt;15000,"High","Low")</f>
        <v>Low</v>
      </c>
    </row>
    <row r="183" spans="1:11" x14ac:dyDescent="0.35">
      <c r="A183">
        <v>18</v>
      </c>
      <c r="B183" t="s">
        <v>2</v>
      </c>
      <c r="C183">
        <v>38.28</v>
      </c>
      <c r="D183">
        <v>0</v>
      </c>
      <c r="E183" t="s">
        <v>4</v>
      </c>
      <c r="F183" t="s">
        <v>5</v>
      </c>
      <c r="G183" s="2">
        <v>1631.8212000000001</v>
      </c>
      <c r="H183" s="1" t="str">
        <f>IF(A183&lt;31,"18-30",IF(A183&lt;46,"31-45",IF(A183&lt;61,"46-60","60+")))</f>
        <v>18-30</v>
      </c>
      <c r="I183" t="str">
        <f>IF(C183&lt;18.5,"Underweight",IF(C183&lt;25,"Normal",IF(C183&lt;30,"Overweight","Obese")))</f>
        <v>Obese</v>
      </c>
      <c r="J183">
        <f>IF(E183="yes",1,0)</f>
        <v>0</v>
      </c>
      <c r="K183" t="str">
        <f>IF(G183&gt;15000,"High","Low")</f>
        <v>Low</v>
      </c>
    </row>
    <row r="184" spans="1:11" x14ac:dyDescent="0.35">
      <c r="A184">
        <v>22</v>
      </c>
      <c r="B184" t="s">
        <v>7</v>
      </c>
      <c r="C184">
        <v>19.95</v>
      </c>
      <c r="D184">
        <v>3</v>
      </c>
      <c r="E184" t="s">
        <v>4</v>
      </c>
      <c r="F184" t="s">
        <v>6</v>
      </c>
      <c r="G184" s="2">
        <v>4005.4225000000001</v>
      </c>
      <c r="H184" s="1" t="str">
        <f>IF(A184&lt;31,"18-30",IF(A184&lt;46,"31-45",IF(A184&lt;61,"46-60","60+")))</f>
        <v>18-30</v>
      </c>
      <c r="I184" t="str">
        <f>IF(C184&lt;18.5,"Underweight",IF(C184&lt;25,"Normal",IF(C184&lt;30,"Overweight","Obese")))</f>
        <v>Normal</v>
      </c>
      <c r="J184">
        <f>IF(E184="yes",1,0)</f>
        <v>0</v>
      </c>
      <c r="K184" t="str">
        <f>IF(G184&gt;15000,"High","Low")</f>
        <v>Low</v>
      </c>
    </row>
    <row r="185" spans="1:11" x14ac:dyDescent="0.35">
      <c r="A185">
        <v>44</v>
      </c>
      <c r="B185" t="s">
        <v>2</v>
      </c>
      <c r="C185">
        <v>26.41</v>
      </c>
      <c r="D185">
        <v>0</v>
      </c>
      <c r="E185" t="s">
        <v>4</v>
      </c>
      <c r="F185" t="s">
        <v>0</v>
      </c>
      <c r="G185" s="2">
        <v>7419.4778999999999</v>
      </c>
      <c r="H185" s="1" t="str">
        <f>IF(A185&lt;31,"18-30",IF(A185&lt;46,"31-45",IF(A185&lt;61,"46-60","60+")))</f>
        <v>31-45</v>
      </c>
      <c r="I185" t="str">
        <f>IF(C185&lt;18.5,"Underweight",IF(C185&lt;25,"Normal",IF(C185&lt;30,"Overweight","Obese")))</f>
        <v>Overweight</v>
      </c>
      <c r="J185">
        <f>IF(E185="yes",1,0)</f>
        <v>0</v>
      </c>
      <c r="K185" t="str">
        <f>IF(G185&gt;15000,"High","Low")</f>
        <v>Low</v>
      </c>
    </row>
    <row r="186" spans="1:11" x14ac:dyDescent="0.35">
      <c r="A186">
        <v>44</v>
      </c>
      <c r="B186" t="s">
        <v>7</v>
      </c>
      <c r="C186">
        <v>30.69</v>
      </c>
      <c r="D186">
        <v>2</v>
      </c>
      <c r="E186" t="s">
        <v>4</v>
      </c>
      <c r="F186" t="s">
        <v>5</v>
      </c>
      <c r="G186" s="2">
        <v>7731.4270999999999</v>
      </c>
      <c r="H186" s="1" t="str">
        <f>IF(A186&lt;31,"18-30",IF(A186&lt;46,"31-45",IF(A186&lt;61,"46-60","60+")))</f>
        <v>31-45</v>
      </c>
      <c r="I186" t="str">
        <f>IF(C186&lt;18.5,"Underweight",IF(C186&lt;25,"Normal",IF(C186&lt;30,"Overweight","Obese")))</f>
        <v>Obese</v>
      </c>
      <c r="J186">
        <f>IF(E186="yes",1,0)</f>
        <v>0</v>
      </c>
      <c r="K186" t="str">
        <f>IF(G186&gt;15000,"High","Low")</f>
        <v>Low</v>
      </c>
    </row>
    <row r="187" spans="1:11" x14ac:dyDescent="0.35">
      <c r="A187">
        <v>36</v>
      </c>
      <c r="B187" t="s">
        <v>7</v>
      </c>
      <c r="C187">
        <v>41.895000000000003</v>
      </c>
      <c r="D187">
        <v>3</v>
      </c>
      <c r="E187" t="s">
        <v>1</v>
      </c>
      <c r="F187" t="s">
        <v>6</v>
      </c>
      <c r="G187" s="2">
        <v>43753.337050000002</v>
      </c>
      <c r="H187" s="1" t="str">
        <f>IF(A187&lt;31,"18-30",IF(A187&lt;46,"31-45",IF(A187&lt;61,"46-60","60+")))</f>
        <v>31-45</v>
      </c>
      <c r="I187" t="str">
        <f>IF(C187&lt;18.5,"Underweight",IF(C187&lt;25,"Normal",IF(C187&lt;30,"Overweight","Obese")))</f>
        <v>Obese</v>
      </c>
      <c r="J187">
        <f>IF(E187="yes",1,0)</f>
        <v>1</v>
      </c>
      <c r="K187" t="str">
        <f>IF(G187&gt;15000,"High","Low")</f>
        <v>High</v>
      </c>
    </row>
    <row r="188" spans="1:11" x14ac:dyDescent="0.35">
      <c r="A188">
        <v>26</v>
      </c>
      <c r="B188" t="s">
        <v>2</v>
      </c>
      <c r="C188">
        <v>29.92</v>
      </c>
      <c r="D188">
        <v>2</v>
      </c>
      <c r="E188" t="s">
        <v>4</v>
      </c>
      <c r="F188" t="s">
        <v>5</v>
      </c>
      <c r="G188" s="2">
        <v>3981.9767999999999</v>
      </c>
      <c r="H188" s="1" t="str">
        <f>IF(A188&lt;31,"18-30",IF(A188&lt;46,"31-45",IF(A188&lt;61,"46-60","60+")))</f>
        <v>18-30</v>
      </c>
      <c r="I188" t="str">
        <f>IF(C188&lt;18.5,"Underweight",IF(C188&lt;25,"Normal",IF(C188&lt;30,"Overweight","Obese")))</f>
        <v>Overweight</v>
      </c>
      <c r="J188">
        <f>IF(E188="yes",1,0)</f>
        <v>0</v>
      </c>
      <c r="K188" t="str">
        <f>IF(G188&gt;15000,"High","Low")</f>
        <v>Low</v>
      </c>
    </row>
    <row r="189" spans="1:11" x14ac:dyDescent="0.35">
      <c r="A189">
        <v>30</v>
      </c>
      <c r="B189" t="s">
        <v>2</v>
      </c>
      <c r="C189">
        <v>30.9</v>
      </c>
      <c r="D189">
        <v>3</v>
      </c>
      <c r="E189" t="s">
        <v>4</v>
      </c>
      <c r="F189" t="s">
        <v>3</v>
      </c>
      <c r="G189" s="2">
        <v>5325.6509999999998</v>
      </c>
      <c r="H189" s="1" t="str">
        <f>IF(A189&lt;31,"18-30",IF(A189&lt;46,"31-45",IF(A189&lt;61,"46-60","60+")))</f>
        <v>18-30</v>
      </c>
      <c r="I189" t="str">
        <f>IF(C189&lt;18.5,"Underweight",IF(C189&lt;25,"Normal",IF(C189&lt;30,"Overweight","Obese")))</f>
        <v>Obese</v>
      </c>
      <c r="J189">
        <f>IF(E189="yes",1,0)</f>
        <v>0</v>
      </c>
      <c r="K189" t="str">
        <f>IF(G189&gt;15000,"High","Low")</f>
        <v>Low</v>
      </c>
    </row>
    <row r="190" spans="1:11" x14ac:dyDescent="0.35">
      <c r="A190">
        <v>41</v>
      </c>
      <c r="B190" t="s">
        <v>2</v>
      </c>
      <c r="C190">
        <v>32.200000000000003</v>
      </c>
      <c r="D190">
        <v>1</v>
      </c>
      <c r="E190" t="s">
        <v>4</v>
      </c>
      <c r="F190" t="s">
        <v>3</v>
      </c>
      <c r="G190" s="2">
        <v>6775.9610000000002</v>
      </c>
      <c r="H190" s="1" t="str">
        <f>IF(A190&lt;31,"18-30",IF(A190&lt;46,"31-45",IF(A190&lt;61,"46-60","60+")))</f>
        <v>31-45</v>
      </c>
      <c r="I190" t="str">
        <f>IF(C190&lt;18.5,"Underweight",IF(C190&lt;25,"Normal",IF(C190&lt;30,"Overweight","Obese")))</f>
        <v>Obese</v>
      </c>
      <c r="J190">
        <f>IF(E190="yes",1,0)</f>
        <v>0</v>
      </c>
      <c r="K190" t="str">
        <f>IF(G190&gt;15000,"High","Low")</f>
        <v>Low</v>
      </c>
    </row>
    <row r="191" spans="1:11" x14ac:dyDescent="0.35">
      <c r="A191">
        <v>29</v>
      </c>
      <c r="B191" t="s">
        <v>2</v>
      </c>
      <c r="C191">
        <v>32.11</v>
      </c>
      <c r="D191">
        <v>2</v>
      </c>
      <c r="E191" t="s">
        <v>4</v>
      </c>
      <c r="F191" t="s">
        <v>0</v>
      </c>
      <c r="G191" s="2">
        <v>4922.9159</v>
      </c>
      <c r="H191" s="1" t="str">
        <f>IF(A191&lt;31,"18-30",IF(A191&lt;46,"31-45",IF(A191&lt;61,"46-60","60+")))</f>
        <v>18-30</v>
      </c>
      <c r="I191" t="str">
        <f>IF(C191&lt;18.5,"Underweight",IF(C191&lt;25,"Normal",IF(C191&lt;30,"Overweight","Obese")))</f>
        <v>Obese</v>
      </c>
      <c r="J191">
        <f>IF(E191="yes",1,0)</f>
        <v>0</v>
      </c>
      <c r="K191" t="str">
        <f>IF(G191&gt;15000,"High","Low")</f>
        <v>Low</v>
      </c>
    </row>
    <row r="192" spans="1:11" x14ac:dyDescent="0.35">
      <c r="A192">
        <v>61</v>
      </c>
      <c r="B192" t="s">
        <v>7</v>
      </c>
      <c r="C192">
        <v>31.57</v>
      </c>
      <c r="D192">
        <v>0</v>
      </c>
      <c r="E192" t="s">
        <v>4</v>
      </c>
      <c r="F192" t="s">
        <v>5</v>
      </c>
      <c r="G192" s="2">
        <v>12557.605299999999</v>
      </c>
      <c r="H192" s="1" t="str">
        <f>IF(A192&lt;31,"18-30",IF(A192&lt;46,"31-45",IF(A192&lt;61,"46-60","60+")))</f>
        <v>60+</v>
      </c>
      <c r="I192" t="str">
        <f>IF(C192&lt;18.5,"Underweight",IF(C192&lt;25,"Normal",IF(C192&lt;30,"Overweight","Obese")))</f>
        <v>Obese</v>
      </c>
      <c r="J192">
        <f>IF(E192="yes",1,0)</f>
        <v>0</v>
      </c>
      <c r="K192" t="str">
        <f>IF(G192&gt;15000,"High","Low")</f>
        <v>Low</v>
      </c>
    </row>
    <row r="193" spans="1:11" x14ac:dyDescent="0.35">
      <c r="A193">
        <v>36</v>
      </c>
      <c r="B193" t="s">
        <v>2</v>
      </c>
      <c r="C193">
        <v>26.2</v>
      </c>
      <c r="D193">
        <v>0</v>
      </c>
      <c r="E193" t="s">
        <v>4</v>
      </c>
      <c r="F193" t="s">
        <v>3</v>
      </c>
      <c r="G193" s="2">
        <v>4883.866</v>
      </c>
      <c r="H193" s="1" t="str">
        <f>IF(A193&lt;31,"18-30",IF(A193&lt;46,"31-45",IF(A193&lt;61,"46-60","60+")))</f>
        <v>31-45</v>
      </c>
      <c r="I193" t="str">
        <f>IF(C193&lt;18.5,"Underweight",IF(C193&lt;25,"Normal",IF(C193&lt;30,"Overweight","Obese")))</f>
        <v>Overweight</v>
      </c>
      <c r="J193">
        <f>IF(E193="yes",1,0)</f>
        <v>0</v>
      </c>
      <c r="K193" t="str">
        <f>IF(G193&gt;15000,"High","Low")</f>
        <v>Low</v>
      </c>
    </row>
    <row r="194" spans="1:11" x14ac:dyDescent="0.35">
      <c r="A194">
        <v>25</v>
      </c>
      <c r="B194" t="s">
        <v>7</v>
      </c>
      <c r="C194">
        <v>25.74</v>
      </c>
      <c r="D194">
        <v>0</v>
      </c>
      <c r="E194" t="s">
        <v>4</v>
      </c>
      <c r="F194" t="s">
        <v>5</v>
      </c>
      <c r="G194" s="2">
        <v>2137.6536000000001</v>
      </c>
      <c r="H194" s="1" t="str">
        <f>IF(A194&lt;31,"18-30",IF(A194&lt;46,"31-45",IF(A194&lt;61,"46-60","60+")))</f>
        <v>18-30</v>
      </c>
      <c r="I194" t="str">
        <f>IF(C194&lt;18.5,"Underweight",IF(C194&lt;25,"Normal",IF(C194&lt;30,"Overweight","Obese")))</f>
        <v>Overweight</v>
      </c>
      <c r="J194">
        <f>IF(E194="yes",1,0)</f>
        <v>0</v>
      </c>
      <c r="K194" t="str">
        <f>IF(G194&gt;15000,"High","Low")</f>
        <v>Low</v>
      </c>
    </row>
    <row r="195" spans="1:11" x14ac:dyDescent="0.35">
      <c r="A195">
        <v>56</v>
      </c>
      <c r="B195" t="s">
        <v>2</v>
      </c>
      <c r="C195">
        <v>26.6</v>
      </c>
      <c r="D195">
        <v>1</v>
      </c>
      <c r="E195" t="s">
        <v>4</v>
      </c>
      <c r="F195" t="s">
        <v>0</v>
      </c>
      <c r="G195" s="2">
        <v>12044.342000000001</v>
      </c>
      <c r="H195" s="1" t="str">
        <f>IF(A195&lt;31,"18-30",IF(A195&lt;46,"31-45",IF(A195&lt;61,"46-60","60+")))</f>
        <v>46-60</v>
      </c>
      <c r="I195" t="str">
        <f>IF(C195&lt;18.5,"Underweight",IF(C195&lt;25,"Normal",IF(C195&lt;30,"Overweight","Obese")))</f>
        <v>Overweight</v>
      </c>
      <c r="J195">
        <f>IF(E195="yes",1,0)</f>
        <v>0</v>
      </c>
      <c r="K195" t="str">
        <f>IF(G195&gt;15000,"High","Low")</f>
        <v>Low</v>
      </c>
    </row>
    <row r="196" spans="1:11" x14ac:dyDescent="0.35">
      <c r="A196">
        <v>18</v>
      </c>
      <c r="B196" t="s">
        <v>7</v>
      </c>
      <c r="C196">
        <v>34.43</v>
      </c>
      <c r="D196">
        <v>0</v>
      </c>
      <c r="E196" t="s">
        <v>4</v>
      </c>
      <c r="F196" t="s">
        <v>5</v>
      </c>
      <c r="G196" s="2">
        <v>1137.4697000000001</v>
      </c>
      <c r="H196" s="1" t="str">
        <f>IF(A196&lt;31,"18-30",IF(A196&lt;46,"31-45",IF(A196&lt;61,"46-60","60+")))</f>
        <v>18-30</v>
      </c>
      <c r="I196" t="str">
        <f>IF(C196&lt;18.5,"Underweight",IF(C196&lt;25,"Normal",IF(C196&lt;30,"Overweight","Obese")))</f>
        <v>Obese</v>
      </c>
      <c r="J196">
        <f>IF(E196="yes",1,0)</f>
        <v>0</v>
      </c>
      <c r="K196" t="str">
        <f>IF(G196&gt;15000,"High","Low")</f>
        <v>Low</v>
      </c>
    </row>
    <row r="197" spans="1:11" x14ac:dyDescent="0.35">
      <c r="A197">
        <v>19</v>
      </c>
      <c r="B197" t="s">
        <v>7</v>
      </c>
      <c r="C197">
        <v>30.59</v>
      </c>
      <c r="D197">
        <v>0</v>
      </c>
      <c r="E197" t="s">
        <v>4</v>
      </c>
      <c r="F197" t="s">
        <v>0</v>
      </c>
      <c r="G197" s="2">
        <v>1639.5631000000001</v>
      </c>
      <c r="H197" s="1" t="str">
        <f>IF(A197&lt;31,"18-30",IF(A197&lt;46,"31-45",IF(A197&lt;61,"46-60","60+")))</f>
        <v>18-30</v>
      </c>
      <c r="I197" t="str">
        <f>IF(C197&lt;18.5,"Underweight",IF(C197&lt;25,"Normal",IF(C197&lt;30,"Overweight","Obese")))</f>
        <v>Obese</v>
      </c>
      <c r="J197">
        <f>IF(E197="yes",1,0)</f>
        <v>0</v>
      </c>
      <c r="K197" t="str">
        <f>IF(G197&gt;15000,"High","Low")</f>
        <v>Low</v>
      </c>
    </row>
    <row r="198" spans="1:11" x14ac:dyDescent="0.35">
      <c r="A198">
        <v>39</v>
      </c>
      <c r="B198" t="s">
        <v>2</v>
      </c>
      <c r="C198">
        <v>32.799999999999997</v>
      </c>
      <c r="D198">
        <v>0</v>
      </c>
      <c r="E198" t="s">
        <v>4</v>
      </c>
      <c r="F198" t="s">
        <v>3</v>
      </c>
      <c r="G198" s="2">
        <v>5649.7150000000001</v>
      </c>
      <c r="H198" s="1" t="str">
        <f>IF(A198&lt;31,"18-30",IF(A198&lt;46,"31-45",IF(A198&lt;61,"46-60","60+")))</f>
        <v>31-45</v>
      </c>
      <c r="I198" t="str">
        <f>IF(C198&lt;18.5,"Underweight",IF(C198&lt;25,"Normal",IF(C198&lt;30,"Overweight","Obese")))</f>
        <v>Obese</v>
      </c>
      <c r="J198">
        <f>IF(E198="yes",1,0)</f>
        <v>0</v>
      </c>
      <c r="K198" t="str">
        <f>IF(G198&gt;15000,"High","Low")</f>
        <v>Low</v>
      </c>
    </row>
    <row r="199" spans="1:11" x14ac:dyDescent="0.35">
      <c r="A199">
        <v>45</v>
      </c>
      <c r="B199" t="s">
        <v>2</v>
      </c>
      <c r="C199">
        <v>28.6</v>
      </c>
      <c r="D199">
        <v>2</v>
      </c>
      <c r="E199" t="s">
        <v>4</v>
      </c>
      <c r="F199" t="s">
        <v>5</v>
      </c>
      <c r="G199" s="2">
        <v>8516.8289999999997</v>
      </c>
      <c r="H199" s="1" t="str">
        <f>IF(A199&lt;31,"18-30",IF(A199&lt;46,"31-45",IF(A199&lt;61,"46-60","60+")))</f>
        <v>31-45</v>
      </c>
      <c r="I199" t="str">
        <f>IF(C199&lt;18.5,"Underweight",IF(C199&lt;25,"Normal",IF(C199&lt;30,"Overweight","Obese")))</f>
        <v>Overweight</v>
      </c>
      <c r="J199">
        <f>IF(E199="yes",1,0)</f>
        <v>0</v>
      </c>
      <c r="K199" t="str">
        <f>IF(G199&gt;15000,"High","Low")</f>
        <v>Low</v>
      </c>
    </row>
    <row r="200" spans="1:11" x14ac:dyDescent="0.35">
      <c r="A200">
        <v>51</v>
      </c>
      <c r="B200" t="s">
        <v>2</v>
      </c>
      <c r="C200">
        <v>18.05</v>
      </c>
      <c r="D200">
        <v>0</v>
      </c>
      <c r="E200" t="s">
        <v>4</v>
      </c>
      <c r="F200" t="s">
        <v>0</v>
      </c>
      <c r="G200" s="2">
        <v>9644.2525000000005</v>
      </c>
      <c r="H200" s="1" t="str">
        <f>IF(A200&lt;31,"18-30",IF(A200&lt;46,"31-45",IF(A200&lt;61,"46-60","60+")))</f>
        <v>46-60</v>
      </c>
      <c r="I200" t="str">
        <f>IF(C200&lt;18.5,"Underweight",IF(C200&lt;25,"Normal",IF(C200&lt;30,"Overweight","Obese")))</f>
        <v>Underweight</v>
      </c>
      <c r="J200">
        <f>IF(E200="yes",1,0)</f>
        <v>0</v>
      </c>
      <c r="K200" t="str">
        <f>IF(G200&gt;15000,"High","Low")</f>
        <v>Low</v>
      </c>
    </row>
    <row r="201" spans="1:11" x14ac:dyDescent="0.35">
      <c r="A201">
        <v>64</v>
      </c>
      <c r="B201" t="s">
        <v>2</v>
      </c>
      <c r="C201">
        <v>39.33</v>
      </c>
      <c r="D201">
        <v>0</v>
      </c>
      <c r="E201" t="s">
        <v>4</v>
      </c>
      <c r="F201" t="s">
        <v>6</v>
      </c>
      <c r="G201" s="2">
        <v>14901.5167</v>
      </c>
      <c r="H201" s="1" t="str">
        <f>IF(A201&lt;31,"18-30",IF(A201&lt;46,"31-45",IF(A201&lt;61,"46-60","60+")))</f>
        <v>60+</v>
      </c>
      <c r="I201" t="str">
        <f>IF(C201&lt;18.5,"Underweight",IF(C201&lt;25,"Normal",IF(C201&lt;30,"Overweight","Obese")))</f>
        <v>Obese</v>
      </c>
      <c r="J201">
        <f>IF(E201="yes",1,0)</f>
        <v>0</v>
      </c>
      <c r="K201" t="str">
        <f>IF(G201&gt;15000,"High","Low")</f>
        <v>Low</v>
      </c>
    </row>
    <row r="202" spans="1:11" x14ac:dyDescent="0.35">
      <c r="A202">
        <v>19</v>
      </c>
      <c r="B202" t="s">
        <v>2</v>
      </c>
      <c r="C202">
        <v>32.11</v>
      </c>
      <c r="D202">
        <v>0</v>
      </c>
      <c r="E202" t="s">
        <v>4</v>
      </c>
      <c r="F202" t="s">
        <v>0</v>
      </c>
      <c r="G202" s="2">
        <v>2130.6759000000002</v>
      </c>
      <c r="H202" s="1" t="str">
        <f>IF(A202&lt;31,"18-30",IF(A202&lt;46,"31-45",IF(A202&lt;61,"46-60","60+")))</f>
        <v>18-30</v>
      </c>
      <c r="I202" t="str">
        <f>IF(C202&lt;18.5,"Underweight",IF(C202&lt;25,"Normal",IF(C202&lt;30,"Overweight","Obese")))</f>
        <v>Obese</v>
      </c>
      <c r="J202">
        <f>IF(E202="yes",1,0)</f>
        <v>0</v>
      </c>
      <c r="K202" t="str">
        <f>IF(G202&gt;15000,"High","Low")</f>
        <v>Low</v>
      </c>
    </row>
    <row r="203" spans="1:11" x14ac:dyDescent="0.35">
      <c r="A203">
        <v>48</v>
      </c>
      <c r="B203" t="s">
        <v>2</v>
      </c>
      <c r="C203">
        <v>32.229999999999997</v>
      </c>
      <c r="D203">
        <v>1</v>
      </c>
      <c r="E203" t="s">
        <v>4</v>
      </c>
      <c r="F203" t="s">
        <v>5</v>
      </c>
      <c r="G203" s="2">
        <v>8871.1517000000003</v>
      </c>
      <c r="H203" s="1" t="str">
        <f>IF(A203&lt;31,"18-30",IF(A203&lt;46,"31-45",IF(A203&lt;61,"46-60","60+")))</f>
        <v>46-60</v>
      </c>
      <c r="I203" t="str">
        <f>IF(C203&lt;18.5,"Underweight",IF(C203&lt;25,"Normal",IF(C203&lt;30,"Overweight","Obese")))</f>
        <v>Obese</v>
      </c>
      <c r="J203">
        <f>IF(E203="yes",1,0)</f>
        <v>0</v>
      </c>
      <c r="K203" t="str">
        <f>IF(G203&gt;15000,"High","Low")</f>
        <v>Low</v>
      </c>
    </row>
    <row r="204" spans="1:11" x14ac:dyDescent="0.35">
      <c r="A204">
        <v>60</v>
      </c>
      <c r="B204" t="s">
        <v>2</v>
      </c>
      <c r="C204">
        <v>24.035</v>
      </c>
      <c r="D204">
        <v>0</v>
      </c>
      <c r="E204" t="s">
        <v>4</v>
      </c>
      <c r="F204" t="s">
        <v>0</v>
      </c>
      <c r="G204" s="2">
        <v>13012.20865</v>
      </c>
      <c r="H204" s="1" t="str">
        <f>IF(A204&lt;31,"18-30",IF(A204&lt;46,"31-45",IF(A204&lt;61,"46-60","60+")))</f>
        <v>46-60</v>
      </c>
      <c r="I204" t="str">
        <f>IF(C204&lt;18.5,"Underweight",IF(C204&lt;25,"Normal",IF(C204&lt;30,"Overweight","Obese")))</f>
        <v>Normal</v>
      </c>
      <c r="J204">
        <f>IF(E204="yes",1,0)</f>
        <v>0</v>
      </c>
      <c r="K204" t="str">
        <f>IF(G204&gt;15000,"High","Low")</f>
        <v>Low</v>
      </c>
    </row>
    <row r="205" spans="1:11" x14ac:dyDescent="0.35">
      <c r="A205">
        <v>27</v>
      </c>
      <c r="B205" t="s">
        <v>2</v>
      </c>
      <c r="C205">
        <v>36.08</v>
      </c>
      <c r="D205">
        <v>0</v>
      </c>
      <c r="E205" t="s">
        <v>1</v>
      </c>
      <c r="F205" t="s">
        <v>5</v>
      </c>
      <c r="G205" s="2">
        <v>37133.898200000003</v>
      </c>
      <c r="H205" s="1" t="str">
        <f>IF(A205&lt;31,"18-30",IF(A205&lt;46,"31-45",IF(A205&lt;61,"46-60","60+")))</f>
        <v>18-30</v>
      </c>
      <c r="I205" t="str">
        <f>IF(C205&lt;18.5,"Underweight",IF(C205&lt;25,"Normal",IF(C205&lt;30,"Overweight","Obese")))</f>
        <v>Obese</v>
      </c>
      <c r="J205">
        <f>IF(E205="yes",1,0)</f>
        <v>1</v>
      </c>
      <c r="K205" t="str">
        <f>IF(G205&gt;15000,"High","Low")</f>
        <v>High</v>
      </c>
    </row>
    <row r="206" spans="1:11" x14ac:dyDescent="0.35">
      <c r="A206">
        <v>46</v>
      </c>
      <c r="B206" t="s">
        <v>7</v>
      </c>
      <c r="C206">
        <v>22.3</v>
      </c>
      <c r="D206">
        <v>0</v>
      </c>
      <c r="E206" t="s">
        <v>4</v>
      </c>
      <c r="F206" t="s">
        <v>3</v>
      </c>
      <c r="G206" s="2">
        <v>7147.1049999999996</v>
      </c>
      <c r="H206" s="1" t="str">
        <f>IF(A206&lt;31,"18-30",IF(A206&lt;46,"31-45",IF(A206&lt;61,"46-60","60+")))</f>
        <v>46-60</v>
      </c>
      <c r="I206" t="str">
        <f>IF(C206&lt;18.5,"Underweight",IF(C206&lt;25,"Normal",IF(C206&lt;30,"Overweight","Obese")))</f>
        <v>Normal</v>
      </c>
      <c r="J206">
        <f>IF(E206="yes",1,0)</f>
        <v>0</v>
      </c>
      <c r="K206" t="str">
        <f>IF(G206&gt;15000,"High","Low")</f>
        <v>Low</v>
      </c>
    </row>
    <row r="207" spans="1:11" x14ac:dyDescent="0.35">
      <c r="A207">
        <v>28</v>
      </c>
      <c r="B207" t="s">
        <v>2</v>
      </c>
      <c r="C207">
        <v>28.88</v>
      </c>
      <c r="D207">
        <v>1</v>
      </c>
      <c r="E207" t="s">
        <v>4</v>
      </c>
      <c r="F207" t="s">
        <v>6</v>
      </c>
      <c r="G207" s="2">
        <v>4337.7352000000001</v>
      </c>
      <c r="H207" s="1" t="str">
        <f>IF(A207&lt;31,"18-30",IF(A207&lt;46,"31-45",IF(A207&lt;61,"46-60","60+")))</f>
        <v>18-30</v>
      </c>
      <c r="I207" t="str">
        <f>IF(C207&lt;18.5,"Underweight",IF(C207&lt;25,"Normal",IF(C207&lt;30,"Overweight","Obese")))</f>
        <v>Overweight</v>
      </c>
      <c r="J207">
        <f>IF(E207="yes",1,0)</f>
        <v>0</v>
      </c>
      <c r="K207" t="str">
        <f>IF(G207&gt;15000,"High","Low")</f>
        <v>Low</v>
      </c>
    </row>
    <row r="208" spans="1:11" x14ac:dyDescent="0.35">
      <c r="A208">
        <v>59</v>
      </c>
      <c r="B208" t="s">
        <v>7</v>
      </c>
      <c r="C208">
        <v>26.4</v>
      </c>
      <c r="D208">
        <v>0</v>
      </c>
      <c r="E208" t="s">
        <v>4</v>
      </c>
      <c r="F208" t="s">
        <v>5</v>
      </c>
      <c r="G208" s="2">
        <v>11743.299000000001</v>
      </c>
      <c r="H208" s="1" t="str">
        <f>IF(A208&lt;31,"18-30",IF(A208&lt;46,"31-45",IF(A208&lt;61,"46-60","60+")))</f>
        <v>46-60</v>
      </c>
      <c r="I208" t="str">
        <f>IF(C208&lt;18.5,"Underweight",IF(C208&lt;25,"Normal",IF(C208&lt;30,"Overweight","Obese")))</f>
        <v>Overweight</v>
      </c>
      <c r="J208">
        <f>IF(E208="yes",1,0)</f>
        <v>0</v>
      </c>
      <c r="K208" t="str">
        <f>IF(G208&gt;15000,"High","Low")</f>
        <v>Low</v>
      </c>
    </row>
    <row r="209" spans="1:11" x14ac:dyDescent="0.35">
      <c r="A209">
        <v>35</v>
      </c>
      <c r="B209" t="s">
        <v>7</v>
      </c>
      <c r="C209">
        <v>27.74</v>
      </c>
      <c r="D209">
        <v>2</v>
      </c>
      <c r="E209" t="s">
        <v>1</v>
      </c>
      <c r="F209" t="s">
        <v>6</v>
      </c>
      <c r="G209" s="2">
        <v>20984.0936</v>
      </c>
      <c r="H209" s="1" t="str">
        <f>IF(A209&lt;31,"18-30",IF(A209&lt;46,"31-45",IF(A209&lt;61,"46-60","60+")))</f>
        <v>31-45</v>
      </c>
      <c r="I209" t="str">
        <f>IF(C209&lt;18.5,"Underweight",IF(C209&lt;25,"Normal",IF(C209&lt;30,"Overweight","Obese")))</f>
        <v>Overweight</v>
      </c>
      <c r="J209">
        <f>IF(E209="yes",1,0)</f>
        <v>1</v>
      </c>
      <c r="K209" t="str">
        <f>IF(G209&gt;15000,"High","Low")</f>
        <v>High</v>
      </c>
    </row>
    <row r="210" spans="1:11" x14ac:dyDescent="0.35">
      <c r="A210">
        <v>63</v>
      </c>
      <c r="B210" t="s">
        <v>2</v>
      </c>
      <c r="C210">
        <v>31.8</v>
      </c>
      <c r="D210">
        <v>0</v>
      </c>
      <c r="E210" t="s">
        <v>4</v>
      </c>
      <c r="F210" t="s">
        <v>3</v>
      </c>
      <c r="G210" s="2">
        <v>13880.949000000001</v>
      </c>
      <c r="H210" s="1" t="str">
        <f>IF(A210&lt;31,"18-30",IF(A210&lt;46,"31-45",IF(A210&lt;61,"46-60","60+")))</f>
        <v>60+</v>
      </c>
      <c r="I210" t="str">
        <f>IF(C210&lt;18.5,"Underweight",IF(C210&lt;25,"Normal",IF(C210&lt;30,"Overweight","Obese")))</f>
        <v>Obese</v>
      </c>
      <c r="J210">
        <f>IF(E210="yes",1,0)</f>
        <v>0</v>
      </c>
      <c r="K210" t="str">
        <f>IF(G210&gt;15000,"High","Low")</f>
        <v>Low</v>
      </c>
    </row>
    <row r="211" spans="1:11" x14ac:dyDescent="0.35">
      <c r="A211">
        <v>40</v>
      </c>
      <c r="B211" t="s">
        <v>7</v>
      </c>
      <c r="C211">
        <v>41.23</v>
      </c>
      <c r="D211">
        <v>1</v>
      </c>
      <c r="E211" t="s">
        <v>4</v>
      </c>
      <c r="F211" t="s">
        <v>6</v>
      </c>
      <c r="G211" s="2">
        <v>6610.1097</v>
      </c>
      <c r="H211" s="1" t="str">
        <f>IF(A211&lt;31,"18-30",IF(A211&lt;46,"31-45",IF(A211&lt;61,"46-60","60+")))</f>
        <v>31-45</v>
      </c>
      <c r="I211" t="str">
        <f>IF(C211&lt;18.5,"Underweight",IF(C211&lt;25,"Normal",IF(C211&lt;30,"Overweight","Obese")))</f>
        <v>Obese</v>
      </c>
      <c r="J211">
        <f>IF(E211="yes",1,0)</f>
        <v>0</v>
      </c>
      <c r="K211" t="str">
        <f>IF(G211&gt;15000,"High","Low")</f>
        <v>Low</v>
      </c>
    </row>
    <row r="212" spans="1:11" x14ac:dyDescent="0.35">
      <c r="A212">
        <v>20</v>
      </c>
      <c r="B212" t="s">
        <v>7</v>
      </c>
      <c r="C212">
        <v>33</v>
      </c>
      <c r="D212">
        <v>1</v>
      </c>
      <c r="E212" t="s">
        <v>4</v>
      </c>
      <c r="F212" t="s">
        <v>3</v>
      </c>
      <c r="G212" s="2">
        <v>1980.07</v>
      </c>
      <c r="H212" s="1" t="str">
        <f>IF(A212&lt;31,"18-30",IF(A212&lt;46,"31-45",IF(A212&lt;61,"46-60","60+")))</f>
        <v>18-30</v>
      </c>
      <c r="I212" t="str">
        <f>IF(C212&lt;18.5,"Underweight",IF(C212&lt;25,"Normal",IF(C212&lt;30,"Overweight","Obese")))</f>
        <v>Obese</v>
      </c>
      <c r="J212">
        <f>IF(E212="yes",1,0)</f>
        <v>0</v>
      </c>
      <c r="K212" t="str">
        <f>IF(G212&gt;15000,"High","Low")</f>
        <v>Low</v>
      </c>
    </row>
    <row r="213" spans="1:11" x14ac:dyDescent="0.35">
      <c r="A213">
        <v>40</v>
      </c>
      <c r="B213" t="s">
        <v>7</v>
      </c>
      <c r="C213">
        <v>30.875</v>
      </c>
      <c r="D213">
        <v>4</v>
      </c>
      <c r="E213" t="s">
        <v>4</v>
      </c>
      <c r="F213" t="s">
        <v>0</v>
      </c>
      <c r="G213" s="2">
        <v>8162.7162500000004</v>
      </c>
      <c r="H213" s="1" t="str">
        <f>IF(A213&lt;31,"18-30",IF(A213&lt;46,"31-45",IF(A213&lt;61,"46-60","60+")))</f>
        <v>31-45</v>
      </c>
      <c r="I213" t="str">
        <f>IF(C213&lt;18.5,"Underweight",IF(C213&lt;25,"Normal",IF(C213&lt;30,"Overweight","Obese")))</f>
        <v>Obese</v>
      </c>
      <c r="J213">
        <f>IF(E213="yes",1,0)</f>
        <v>0</v>
      </c>
      <c r="K213" t="str">
        <f>IF(G213&gt;15000,"High","Low")</f>
        <v>Low</v>
      </c>
    </row>
    <row r="214" spans="1:11" x14ac:dyDescent="0.35">
      <c r="A214">
        <v>24</v>
      </c>
      <c r="B214" t="s">
        <v>7</v>
      </c>
      <c r="C214">
        <v>28.5</v>
      </c>
      <c r="D214">
        <v>2</v>
      </c>
      <c r="E214" t="s">
        <v>4</v>
      </c>
      <c r="F214" t="s">
        <v>0</v>
      </c>
      <c r="G214" s="2">
        <v>3537.703</v>
      </c>
      <c r="H214" s="1" t="str">
        <f>IF(A214&lt;31,"18-30",IF(A214&lt;46,"31-45",IF(A214&lt;61,"46-60","60+")))</f>
        <v>18-30</v>
      </c>
      <c r="I214" t="str">
        <f>IF(C214&lt;18.5,"Underweight",IF(C214&lt;25,"Normal",IF(C214&lt;30,"Overweight","Obese")))</f>
        <v>Overweight</v>
      </c>
      <c r="J214">
        <f>IF(E214="yes",1,0)</f>
        <v>0</v>
      </c>
      <c r="K214" t="str">
        <f>IF(G214&gt;15000,"High","Low")</f>
        <v>Low</v>
      </c>
    </row>
    <row r="215" spans="1:11" x14ac:dyDescent="0.35">
      <c r="A215">
        <v>34</v>
      </c>
      <c r="B215" t="s">
        <v>2</v>
      </c>
      <c r="C215">
        <v>26.73</v>
      </c>
      <c r="D215">
        <v>1</v>
      </c>
      <c r="E215" t="s">
        <v>4</v>
      </c>
      <c r="F215" t="s">
        <v>5</v>
      </c>
      <c r="G215" s="2">
        <v>5002.7826999999997</v>
      </c>
      <c r="H215" s="1" t="str">
        <f>IF(A215&lt;31,"18-30",IF(A215&lt;46,"31-45",IF(A215&lt;61,"46-60","60+")))</f>
        <v>31-45</v>
      </c>
      <c r="I215" t="str">
        <f>IF(C215&lt;18.5,"Underweight",IF(C215&lt;25,"Normal",IF(C215&lt;30,"Overweight","Obese")))</f>
        <v>Overweight</v>
      </c>
      <c r="J215">
        <f>IF(E215="yes",1,0)</f>
        <v>0</v>
      </c>
      <c r="K215" t="str">
        <f>IF(G215&gt;15000,"High","Low")</f>
        <v>Low</v>
      </c>
    </row>
    <row r="216" spans="1:11" x14ac:dyDescent="0.35">
      <c r="A216">
        <v>45</v>
      </c>
      <c r="B216" t="s">
        <v>2</v>
      </c>
      <c r="C216">
        <v>30.9</v>
      </c>
      <c r="D216">
        <v>2</v>
      </c>
      <c r="E216" t="s">
        <v>4</v>
      </c>
      <c r="F216" t="s">
        <v>3</v>
      </c>
      <c r="G216" s="2">
        <v>8520.0259999999998</v>
      </c>
      <c r="H216" s="1" t="str">
        <f>IF(A216&lt;31,"18-30",IF(A216&lt;46,"31-45",IF(A216&lt;61,"46-60","60+")))</f>
        <v>31-45</v>
      </c>
      <c r="I216" t="str">
        <f>IF(C216&lt;18.5,"Underweight",IF(C216&lt;25,"Normal",IF(C216&lt;30,"Overweight","Obese")))</f>
        <v>Obese</v>
      </c>
      <c r="J216">
        <f>IF(E216="yes",1,0)</f>
        <v>0</v>
      </c>
      <c r="K216" t="str">
        <f>IF(G216&gt;15000,"High","Low")</f>
        <v>Low</v>
      </c>
    </row>
    <row r="217" spans="1:11" x14ac:dyDescent="0.35">
      <c r="A217">
        <v>41</v>
      </c>
      <c r="B217" t="s">
        <v>2</v>
      </c>
      <c r="C217">
        <v>37.1</v>
      </c>
      <c r="D217">
        <v>2</v>
      </c>
      <c r="E217" t="s">
        <v>4</v>
      </c>
      <c r="F217" t="s">
        <v>3</v>
      </c>
      <c r="G217" s="2">
        <v>7371.7719999999999</v>
      </c>
      <c r="H217" s="1" t="str">
        <f>IF(A217&lt;31,"18-30",IF(A217&lt;46,"31-45",IF(A217&lt;61,"46-60","60+")))</f>
        <v>31-45</v>
      </c>
      <c r="I217" t="str">
        <f>IF(C217&lt;18.5,"Underweight",IF(C217&lt;25,"Normal",IF(C217&lt;30,"Overweight","Obese")))</f>
        <v>Obese</v>
      </c>
      <c r="J217">
        <f>IF(E217="yes",1,0)</f>
        <v>0</v>
      </c>
      <c r="K217" t="str">
        <f>IF(G217&gt;15000,"High","Low")</f>
        <v>Low</v>
      </c>
    </row>
    <row r="218" spans="1:11" x14ac:dyDescent="0.35">
      <c r="A218">
        <v>53</v>
      </c>
      <c r="B218" t="s">
        <v>2</v>
      </c>
      <c r="C218">
        <v>26.6</v>
      </c>
      <c r="D218">
        <v>0</v>
      </c>
      <c r="E218" t="s">
        <v>4</v>
      </c>
      <c r="F218" t="s">
        <v>0</v>
      </c>
      <c r="G218" s="2">
        <v>10355.641</v>
      </c>
      <c r="H218" s="1" t="str">
        <f>IF(A218&lt;31,"18-30",IF(A218&lt;46,"31-45",IF(A218&lt;61,"46-60","60+")))</f>
        <v>46-60</v>
      </c>
      <c r="I218" t="str">
        <f>IF(C218&lt;18.5,"Underweight",IF(C218&lt;25,"Normal",IF(C218&lt;30,"Overweight","Obese")))</f>
        <v>Overweight</v>
      </c>
      <c r="J218">
        <f>IF(E218="yes",1,0)</f>
        <v>0</v>
      </c>
      <c r="K218" t="str">
        <f>IF(G218&gt;15000,"High","Low")</f>
        <v>Low</v>
      </c>
    </row>
    <row r="219" spans="1:11" x14ac:dyDescent="0.35">
      <c r="A219">
        <v>27</v>
      </c>
      <c r="B219" t="s">
        <v>7</v>
      </c>
      <c r="C219">
        <v>23.1</v>
      </c>
      <c r="D219">
        <v>0</v>
      </c>
      <c r="E219" t="s">
        <v>4</v>
      </c>
      <c r="F219" t="s">
        <v>5</v>
      </c>
      <c r="G219" s="2">
        <v>2483.7359999999999</v>
      </c>
      <c r="H219" s="1" t="str">
        <f>IF(A219&lt;31,"18-30",IF(A219&lt;46,"31-45",IF(A219&lt;61,"46-60","60+")))</f>
        <v>18-30</v>
      </c>
      <c r="I219" t="str">
        <f>IF(C219&lt;18.5,"Underweight",IF(C219&lt;25,"Normal",IF(C219&lt;30,"Overweight","Obese")))</f>
        <v>Normal</v>
      </c>
      <c r="J219">
        <f>IF(E219="yes",1,0)</f>
        <v>0</v>
      </c>
      <c r="K219" t="str">
        <f>IF(G219&gt;15000,"High","Low")</f>
        <v>Low</v>
      </c>
    </row>
    <row r="220" spans="1:11" x14ac:dyDescent="0.35">
      <c r="A220">
        <v>26</v>
      </c>
      <c r="B220" t="s">
        <v>2</v>
      </c>
      <c r="C220">
        <v>29.92</v>
      </c>
      <c r="D220">
        <v>1</v>
      </c>
      <c r="E220" t="s">
        <v>4</v>
      </c>
      <c r="F220" t="s">
        <v>5</v>
      </c>
      <c r="G220" s="2">
        <v>3392.9767999999999</v>
      </c>
      <c r="H220" s="1" t="str">
        <f>IF(A220&lt;31,"18-30",IF(A220&lt;46,"31-45",IF(A220&lt;61,"46-60","60+")))</f>
        <v>18-30</v>
      </c>
      <c r="I220" t="str">
        <f>IF(C220&lt;18.5,"Underweight",IF(C220&lt;25,"Normal",IF(C220&lt;30,"Overweight","Obese")))</f>
        <v>Overweight</v>
      </c>
      <c r="J220">
        <f>IF(E220="yes",1,0)</f>
        <v>0</v>
      </c>
      <c r="K220" t="str">
        <f>IF(G220&gt;15000,"High","Low")</f>
        <v>Low</v>
      </c>
    </row>
    <row r="221" spans="1:11" x14ac:dyDescent="0.35">
      <c r="A221">
        <v>24</v>
      </c>
      <c r="B221" t="s">
        <v>2</v>
      </c>
      <c r="C221">
        <v>23.21</v>
      </c>
      <c r="D221">
        <v>0</v>
      </c>
      <c r="E221" t="s">
        <v>4</v>
      </c>
      <c r="F221" t="s">
        <v>5</v>
      </c>
      <c r="G221" s="2">
        <v>25081.76784</v>
      </c>
      <c r="H221" s="1" t="str">
        <f>IF(A221&lt;31,"18-30",IF(A221&lt;46,"31-45",IF(A221&lt;61,"46-60","60+")))</f>
        <v>18-30</v>
      </c>
      <c r="I221" t="str">
        <f>IF(C221&lt;18.5,"Underweight",IF(C221&lt;25,"Normal",IF(C221&lt;30,"Overweight","Obese")))</f>
        <v>Normal</v>
      </c>
      <c r="J221">
        <f>IF(E221="yes",1,0)</f>
        <v>0</v>
      </c>
      <c r="K221" t="str">
        <f>IF(G221&gt;15000,"High","Low")</f>
        <v>High</v>
      </c>
    </row>
    <row r="222" spans="1:11" x14ac:dyDescent="0.35">
      <c r="A222">
        <v>34</v>
      </c>
      <c r="B222" t="s">
        <v>2</v>
      </c>
      <c r="C222">
        <v>33.700000000000003</v>
      </c>
      <c r="D222">
        <v>1</v>
      </c>
      <c r="E222" t="s">
        <v>4</v>
      </c>
      <c r="F222" t="s">
        <v>3</v>
      </c>
      <c r="G222" s="2">
        <v>5012.4709999999995</v>
      </c>
      <c r="H222" s="1" t="str">
        <f>IF(A222&lt;31,"18-30",IF(A222&lt;46,"31-45",IF(A222&lt;61,"46-60","60+")))</f>
        <v>31-45</v>
      </c>
      <c r="I222" t="str">
        <f>IF(C222&lt;18.5,"Underweight",IF(C222&lt;25,"Normal",IF(C222&lt;30,"Overweight","Obese")))</f>
        <v>Obese</v>
      </c>
      <c r="J222">
        <f>IF(E222="yes",1,0)</f>
        <v>0</v>
      </c>
      <c r="K222" t="str">
        <f>IF(G222&gt;15000,"High","Low")</f>
        <v>Low</v>
      </c>
    </row>
    <row r="223" spans="1:11" x14ac:dyDescent="0.35">
      <c r="A223">
        <v>53</v>
      </c>
      <c r="B223" t="s">
        <v>2</v>
      </c>
      <c r="C223">
        <v>33.25</v>
      </c>
      <c r="D223">
        <v>0</v>
      </c>
      <c r="E223" t="s">
        <v>4</v>
      </c>
      <c r="F223" t="s">
        <v>6</v>
      </c>
      <c r="G223" s="2">
        <v>10564.8845</v>
      </c>
      <c r="H223" s="1" t="str">
        <f>IF(A223&lt;31,"18-30",IF(A223&lt;46,"31-45",IF(A223&lt;61,"46-60","60+")))</f>
        <v>46-60</v>
      </c>
      <c r="I223" t="str">
        <f>IF(C223&lt;18.5,"Underweight",IF(C223&lt;25,"Normal",IF(C223&lt;30,"Overweight","Obese")))</f>
        <v>Obese</v>
      </c>
      <c r="J223">
        <f>IF(E223="yes",1,0)</f>
        <v>0</v>
      </c>
      <c r="K223" t="str">
        <f>IF(G223&gt;15000,"High","Low")</f>
        <v>Low</v>
      </c>
    </row>
    <row r="224" spans="1:11" x14ac:dyDescent="0.35">
      <c r="A224">
        <v>32</v>
      </c>
      <c r="B224" t="s">
        <v>7</v>
      </c>
      <c r="C224">
        <v>30.8</v>
      </c>
      <c r="D224">
        <v>3</v>
      </c>
      <c r="E224" t="s">
        <v>4</v>
      </c>
      <c r="F224" t="s">
        <v>3</v>
      </c>
      <c r="G224" s="2">
        <v>5253.5240000000003</v>
      </c>
      <c r="H224" s="1" t="str">
        <f>IF(A224&lt;31,"18-30",IF(A224&lt;46,"31-45",IF(A224&lt;61,"46-60","60+")))</f>
        <v>31-45</v>
      </c>
      <c r="I224" t="str">
        <f>IF(C224&lt;18.5,"Underweight",IF(C224&lt;25,"Normal",IF(C224&lt;30,"Overweight","Obese")))</f>
        <v>Obese</v>
      </c>
      <c r="J224">
        <f>IF(E224="yes",1,0)</f>
        <v>0</v>
      </c>
      <c r="K224" t="str">
        <f>IF(G224&gt;15000,"High","Low")</f>
        <v>Low</v>
      </c>
    </row>
    <row r="225" spans="1:11" x14ac:dyDescent="0.35">
      <c r="A225">
        <v>19</v>
      </c>
      <c r="B225" t="s">
        <v>7</v>
      </c>
      <c r="C225">
        <v>34.799999999999997</v>
      </c>
      <c r="D225">
        <v>0</v>
      </c>
      <c r="E225" t="s">
        <v>1</v>
      </c>
      <c r="F225" t="s">
        <v>3</v>
      </c>
      <c r="G225" s="2">
        <v>34779.614999999998</v>
      </c>
      <c r="H225" s="1" t="str">
        <f>IF(A225&lt;31,"18-30",IF(A225&lt;46,"31-45",IF(A225&lt;61,"46-60","60+")))</f>
        <v>18-30</v>
      </c>
      <c r="I225" t="str">
        <f>IF(C225&lt;18.5,"Underweight",IF(C225&lt;25,"Normal",IF(C225&lt;30,"Overweight","Obese")))</f>
        <v>Obese</v>
      </c>
      <c r="J225">
        <f>IF(E225="yes",1,0)</f>
        <v>1</v>
      </c>
      <c r="K225" t="str">
        <f>IF(G225&gt;15000,"High","Low")</f>
        <v>High</v>
      </c>
    </row>
    <row r="226" spans="1:11" x14ac:dyDescent="0.35">
      <c r="A226">
        <v>42</v>
      </c>
      <c r="B226" t="s">
        <v>7</v>
      </c>
      <c r="C226">
        <v>24.64</v>
      </c>
      <c r="D226">
        <v>0</v>
      </c>
      <c r="E226" t="s">
        <v>1</v>
      </c>
      <c r="F226" t="s">
        <v>5</v>
      </c>
      <c r="G226" s="2">
        <v>19515.5416</v>
      </c>
      <c r="H226" s="1" t="str">
        <f>IF(A226&lt;31,"18-30",IF(A226&lt;46,"31-45",IF(A226&lt;61,"46-60","60+")))</f>
        <v>31-45</v>
      </c>
      <c r="I226" t="str">
        <f>IF(C226&lt;18.5,"Underweight",IF(C226&lt;25,"Normal",IF(C226&lt;30,"Overweight","Obese")))</f>
        <v>Normal</v>
      </c>
      <c r="J226">
        <f>IF(E226="yes",1,0)</f>
        <v>1</v>
      </c>
      <c r="K226" t="str">
        <f>IF(G226&gt;15000,"High","Low")</f>
        <v>High</v>
      </c>
    </row>
    <row r="227" spans="1:11" x14ac:dyDescent="0.35">
      <c r="A227">
        <v>55</v>
      </c>
      <c r="B227" t="s">
        <v>7</v>
      </c>
      <c r="C227">
        <v>33.880000000000003</v>
      </c>
      <c r="D227">
        <v>3</v>
      </c>
      <c r="E227" t="s">
        <v>4</v>
      </c>
      <c r="F227" t="s">
        <v>5</v>
      </c>
      <c r="G227" s="2">
        <v>11987.1682</v>
      </c>
      <c r="H227" s="1" t="str">
        <f>IF(A227&lt;31,"18-30",IF(A227&lt;46,"31-45",IF(A227&lt;61,"46-60","60+")))</f>
        <v>46-60</v>
      </c>
      <c r="I227" t="str">
        <f>IF(C227&lt;18.5,"Underweight",IF(C227&lt;25,"Normal",IF(C227&lt;30,"Overweight","Obese")))</f>
        <v>Obese</v>
      </c>
      <c r="J227">
        <f>IF(E227="yes",1,0)</f>
        <v>0</v>
      </c>
      <c r="K227" t="str">
        <f>IF(G227&gt;15000,"High","Low")</f>
        <v>Low</v>
      </c>
    </row>
    <row r="228" spans="1:11" x14ac:dyDescent="0.35">
      <c r="A228">
        <v>28</v>
      </c>
      <c r="B228" t="s">
        <v>7</v>
      </c>
      <c r="C228">
        <v>38.06</v>
      </c>
      <c r="D228">
        <v>0</v>
      </c>
      <c r="E228" t="s">
        <v>4</v>
      </c>
      <c r="F228" t="s">
        <v>5</v>
      </c>
      <c r="G228" s="2">
        <v>2689.4953999999998</v>
      </c>
      <c r="H228" s="1" t="str">
        <f>IF(A228&lt;31,"18-30",IF(A228&lt;46,"31-45",IF(A228&lt;61,"46-60","60+")))</f>
        <v>18-30</v>
      </c>
      <c r="I228" t="str">
        <f>IF(C228&lt;18.5,"Underweight",IF(C228&lt;25,"Normal",IF(C228&lt;30,"Overweight","Obese")))</f>
        <v>Obese</v>
      </c>
      <c r="J228">
        <f>IF(E228="yes",1,0)</f>
        <v>0</v>
      </c>
      <c r="K228" t="str">
        <f>IF(G228&gt;15000,"High","Low")</f>
        <v>Low</v>
      </c>
    </row>
    <row r="229" spans="1:11" x14ac:dyDescent="0.35">
      <c r="A229">
        <v>58</v>
      </c>
      <c r="B229" t="s">
        <v>2</v>
      </c>
      <c r="C229">
        <v>41.91</v>
      </c>
      <c r="D229">
        <v>0</v>
      </c>
      <c r="E229" t="s">
        <v>4</v>
      </c>
      <c r="F229" t="s">
        <v>5</v>
      </c>
      <c r="G229" s="2">
        <v>24227.337240000001</v>
      </c>
      <c r="H229" s="1" t="str">
        <f>IF(A229&lt;31,"18-30",IF(A229&lt;46,"31-45",IF(A229&lt;61,"46-60","60+")))</f>
        <v>46-60</v>
      </c>
      <c r="I229" t="str">
        <f>IF(C229&lt;18.5,"Underweight",IF(C229&lt;25,"Normal",IF(C229&lt;30,"Overweight","Obese")))</f>
        <v>Obese</v>
      </c>
      <c r="J229">
        <f>IF(E229="yes",1,0)</f>
        <v>0</v>
      </c>
      <c r="K229" t="str">
        <f>IF(G229&gt;15000,"High","Low")</f>
        <v>High</v>
      </c>
    </row>
    <row r="230" spans="1:11" x14ac:dyDescent="0.35">
      <c r="A230">
        <v>41</v>
      </c>
      <c r="B230" t="s">
        <v>2</v>
      </c>
      <c r="C230">
        <v>31.635000000000002</v>
      </c>
      <c r="D230">
        <v>1</v>
      </c>
      <c r="E230" t="s">
        <v>4</v>
      </c>
      <c r="F230" t="s">
        <v>6</v>
      </c>
      <c r="G230" s="2">
        <v>7358.1756500000001</v>
      </c>
      <c r="H230" s="1" t="str">
        <f>IF(A230&lt;31,"18-30",IF(A230&lt;46,"31-45",IF(A230&lt;61,"46-60","60+")))</f>
        <v>31-45</v>
      </c>
      <c r="I230" t="str">
        <f>IF(C230&lt;18.5,"Underweight",IF(C230&lt;25,"Normal",IF(C230&lt;30,"Overweight","Obese")))</f>
        <v>Obese</v>
      </c>
      <c r="J230">
        <f>IF(E230="yes",1,0)</f>
        <v>0</v>
      </c>
      <c r="K230" t="str">
        <f>IF(G230&gt;15000,"High","Low")</f>
        <v>Low</v>
      </c>
    </row>
    <row r="231" spans="1:11" x14ac:dyDescent="0.35">
      <c r="A231">
        <v>47</v>
      </c>
      <c r="B231" t="s">
        <v>7</v>
      </c>
      <c r="C231">
        <v>25.46</v>
      </c>
      <c r="D231">
        <v>2</v>
      </c>
      <c r="E231" t="s">
        <v>4</v>
      </c>
      <c r="F231" t="s">
        <v>6</v>
      </c>
      <c r="G231" s="2">
        <v>9225.2564000000002</v>
      </c>
      <c r="H231" s="1" t="str">
        <f>IF(A231&lt;31,"18-30",IF(A231&lt;46,"31-45",IF(A231&lt;61,"46-60","60+")))</f>
        <v>46-60</v>
      </c>
      <c r="I231" t="str">
        <f>IF(C231&lt;18.5,"Underweight",IF(C231&lt;25,"Normal",IF(C231&lt;30,"Overweight","Obese")))</f>
        <v>Overweight</v>
      </c>
      <c r="J231">
        <f>IF(E231="yes",1,0)</f>
        <v>0</v>
      </c>
      <c r="K231" t="str">
        <f>IF(G231&gt;15000,"High","Low")</f>
        <v>Low</v>
      </c>
    </row>
    <row r="232" spans="1:11" x14ac:dyDescent="0.35">
      <c r="A232">
        <v>42</v>
      </c>
      <c r="B232" t="s">
        <v>2</v>
      </c>
      <c r="C232">
        <v>36.195</v>
      </c>
      <c r="D232">
        <v>1</v>
      </c>
      <c r="E232" t="s">
        <v>4</v>
      </c>
      <c r="F232" t="s">
        <v>0</v>
      </c>
      <c r="G232" s="2">
        <v>7443.6430499999997</v>
      </c>
      <c r="H232" s="1" t="str">
        <f>IF(A232&lt;31,"18-30",IF(A232&lt;46,"31-45",IF(A232&lt;61,"46-60","60+")))</f>
        <v>31-45</v>
      </c>
      <c r="I232" t="str">
        <f>IF(C232&lt;18.5,"Underweight",IF(C232&lt;25,"Normal",IF(C232&lt;30,"Overweight","Obese")))</f>
        <v>Obese</v>
      </c>
      <c r="J232">
        <f>IF(E232="yes",1,0)</f>
        <v>0</v>
      </c>
      <c r="K232" t="str">
        <f>IF(G232&gt;15000,"High","Low")</f>
        <v>Low</v>
      </c>
    </row>
    <row r="233" spans="1:11" x14ac:dyDescent="0.35">
      <c r="A233">
        <v>59</v>
      </c>
      <c r="B233" t="s">
        <v>2</v>
      </c>
      <c r="C233">
        <v>27.83</v>
      </c>
      <c r="D233">
        <v>3</v>
      </c>
      <c r="E233" t="s">
        <v>4</v>
      </c>
      <c r="F233" t="s">
        <v>5</v>
      </c>
      <c r="G233" s="2">
        <v>14001.286700000001</v>
      </c>
      <c r="H233" s="1" t="str">
        <f>IF(A233&lt;31,"18-30",IF(A233&lt;46,"31-45",IF(A233&lt;61,"46-60","60+")))</f>
        <v>46-60</v>
      </c>
      <c r="I233" t="str">
        <f>IF(C233&lt;18.5,"Underweight",IF(C233&lt;25,"Normal",IF(C233&lt;30,"Overweight","Obese")))</f>
        <v>Overweight</v>
      </c>
      <c r="J233">
        <f>IF(E233="yes",1,0)</f>
        <v>0</v>
      </c>
      <c r="K233" t="str">
        <f>IF(G233&gt;15000,"High","Low")</f>
        <v>Low</v>
      </c>
    </row>
    <row r="234" spans="1:11" x14ac:dyDescent="0.35">
      <c r="A234">
        <v>19</v>
      </c>
      <c r="B234" t="s">
        <v>2</v>
      </c>
      <c r="C234">
        <v>17.8</v>
      </c>
      <c r="D234">
        <v>0</v>
      </c>
      <c r="E234" t="s">
        <v>4</v>
      </c>
      <c r="F234" t="s">
        <v>3</v>
      </c>
      <c r="G234" s="2">
        <v>1727.7850000000001</v>
      </c>
      <c r="H234" s="1" t="str">
        <f>IF(A234&lt;31,"18-30",IF(A234&lt;46,"31-45",IF(A234&lt;61,"46-60","60+")))</f>
        <v>18-30</v>
      </c>
      <c r="I234" t="str">
        <f>IF(C234&lt;18.5,"Underweight",IF(C234&lt;25,"Normal",IF(C234&lt;30,"Overweight","Obese")))</f>
        <v>Underweight</v>
      </c>
      <c r="J234">
        <f>IF(E234="yes",1,0)</f>
        <v>0</v>
      </c>
      <c r="K234" t="str">
        <f>IF(G234&gt;15000,"High","Low")</f>
        <v>Low</v>
      </c>
    </row>
    <row r="235" spans="1:11" x14ac:dyDescent="0.35">
      <c r="A235">
        <v>59</v>
      </c>
      <c r="B235" t="s">
        <v>7</v>
      </c>
      <c r="C235">
        <v>27.5</v>
      </c>
      <c r="D235">
        <v>1</v>
      </c>
      <c r="E235" t="s">
        <v>4</v>
      </c>
      <c r="F235" t="s">
        <v>3</v>
      </c>
      <c r="G235" s="2">
        <v>12333.828</v>
      </c>
      <c r="H235" s="1" t="str">
        <f>IF(A235&lt;31,"18-30",IF(A235&lt;46,"31-45",IF(A235&lt;61,"46-60","60+")))</f>
        <v>46-60</v>
      </c>
      <c r="I235" t="str">
        <f>IF(C235&lt;18.5,"Underweight",IF(C235&lt;25,"Normal",IF(C235&lt;30,"Overweight","Obese")))</f>
        <v>Overweight</v>
      </c>
      <c r="J235">
        <f>IF(E235="yes",1,0)</f>
        <v>0</v>
      </c>
      <c r="K235" t="str">
        <f>IF(G235&gt;15000,"High","Low")</f>
        <v>Low</v>
      </c>
    </row>
    <row r="236" spans="1:11" x14ac:dyDescent="0.35">
      <c r="A236">
        <v>39</v>
      </c>
      <c r="B236" t="s">
        <v>7</v>
      </c>
      <c r="C236">
        <v>24.51</v>
      </c>
      <c r="D236">
        <v>2</v>
      </c>
      <c r="E236" t="s">
        <v>4</v>
      </c>
      <c r="F236" t="s">
        <v>0</v>
      </c>
      <c r="G236" s="2">
        <v>6710.1918999999998</v>
      </c>
      <c r="H236" s="1" t="str">
        <f>IF(A236&lt;31,"18-30",IF(A236&lt;46,"31-45",IF(A236&lt;61,"46-60","60+")))</f>
        <v>31-45</v>
      </c>
      <c r="I236" t="str">
        <f>IF(C236&lt;18.5,"Underweight",IF(C236&lt;25,"Normal",IF(C236&lt;30,"Overweight","Obese")))</f>
        <v>Normal</v>
      </c>
      <c r="J236">
        <f>IF(E236="yes",1,0)</f>
        <v>0</v>
      </c>
      <c r="K236" t="str">
        <f>IF(G236&gt;15000,"High","Low")</f>
        <v>Low</v>
      </c>
    </row>
    <row r="237" spans="1:11" x14ac:dyDescent="0.35">
      <c r="A237">
        <v>40</v>
      </c>
      <c r="B237" t="s">
        <v>2</v>
      </c>
      <c r="C237">
        <v>22.22</v>
      </c>
      <c r="D237">
        <v>2</v>
      </c>
      <c r="E237" t="s">
        <v>1</v>
      </c>
      <c r="F237" t="s">
        <v>5</v>
      </c>
      <c r="G237" s="2">
        <v>19444.265800000001</v>
      </c>
      <c r="H237" s="1" t="str">
        <f>IF(A237&lt;31,"18-30",IF(A237&lt;46,"31-45",IF(A237&lt;61,"46-60","60+")))</f>
        <v>31-45</v>
      </c>
      <c r="I237" t="str">
        <f>IF(C237&lt;18.5,"Underweight",IF(C237&lt;25,"Normal",IF(C237&lt;30,"Overweight","Obese")))</f>
        <v>Normal</v>
      </c>
      <c r="J237">
        <f>IF(E237="yes",1,0)</f>
        <v>1</v>
      </c>
      <c r="K237" t="str">
        <f>IF(G237&gt;15000,"High","Low")</f>
        <v>High</v>
      </c>
    </row>
    <row r="238" spans="1:11" x14ac:dyDescent="0.35">
      <c r="A238">
        <v>18</v>
      </c>
      <c r="B238" t="s">
        <v>2</v>
      </c>
      <c r="C238">
        <v>26.73</v>
      </c>
      <c r="D238">
        <v>0</v>
      </c>
      <c r="E238" t="s">
        <v>4</v>
      </c>
      <c r="F238" t="s">
        <v>5</v>
      </c>
      <c r="G238" s="2">
        <v>1615.7666999999999</v>
      </c>
      <c r="H238" s="1" t="str">
        <f>IF(A238&lt;31,"18-30",IF(A238&lt;46,"31-45",IF(A238&lt;61,"46-60","60+")))</f>
        <v>18-30</v>
      </c>
      <c r="I238" t="str">
        <f>IF(C238&lt;18.5,"Underweight",IF(C238&lt;25,"Normal",IF(C238&lt;30,"Overweight","Obese")))</f>
        <v>Overweight</v>
      </c>
      <c r="J238">
        <f>IF(E238="yes",1,0)</f>
        <v>0</v>
      </c>
      <c r="K238" t="str">
        <f>IF(G238&gt;15000,"High","Low")</f>
        <v>Low</v>
      </c>
    </row>
    <row r="239" spans="1:11" x14ac:dyDescent="0.35">
      <c r="A239">
        <v>31</v>
      </c>
      <c r="B239" t="s">
        <v>7</v>
      </c>
      <c r="C239">
        <v>38.39</v>
      </c>
      <c r="D239">
        <v>2</v>
      </c>
      <c r="E239" t="s">
        <v>4</v>
      </c>
      <c r="F239" t="s">
        <v>5</v>
      </c>
      <c r="G239" s="2">
        <v>4463.2051000000001</v>
      </c>
      <c r="H239" s="1" t="str">
        <f>IF(A239&lt;31,"18-30",IF(A239&lt;46,"31-45",IF(A239&lt;61,"46-60","60+")))</f>
        <v>31-45</v>
      </c>
      <c r="I239" t="str">
        <f>IF(C239&lt;18.5,"Underweight",IF(C239&lt;25,"Normal",IF(C239&lt;30,"Overweight","Obese")))</f>
        <v>Obese</v>
      </c>
      <c r="J239">
        <f>IF(E239="yes",1,0)</f>
        <v>0</v>
      </c>
      <c r="K239" t="str">
        <f>IF(G239&gt;15000,"High","Low")</f>
        <v>Low</v>
      </c>
    </row>
    <row r="240" spans="1:11" x14ac:dyDescent="0.35">
      <c r="A240">
        <v>19</v>
      </c>
      <c r="B240" t="s">
        <v>7</v>
      </c>
      <c r="C240">
        <v>29.07</v>
      </c>
      <c r="D240">
        <v>0</v>
      </c>
      <c r="E240" t="s">
        <v>1</v>
      </c>
      <c r="F240" t="s">
        <v>0</v>
      </c>
      <c r="G240" s="2">
        <v>17352.6803</v>
      </c>
      <c r="H240" s="1" t="str">
        <f>IF(A240&lt;31,"18-30",IF(A240&lt;46,"31-45",IF(A240&lt;61,"46-60","60+")))</f>
        <v>18-30</v>
      </c>
      <c r="I240" t="str">
        <f>IF(C240&lt;18.5,"Underweight",IF(C240&lt;25,"Normal",IF(C240&lt;30,"Overweight","Obese")))</f>
        <v>Overweight</v>
      </c>
      <c r="J240">
        <f>IF(E240="yes",1,0)</f>
        <v>1</v>
      </c>
      <c r="K240" t="str">
        <f>IF(G240&gt;15000,"High","Low")</f>
        <v>High</v>
      </c>
    </row>
    <row r="241" spans="1:11" x14ac:dyDescent="0.35">
      <c r="A241">
        <v>44</v>
      </c>
      <c r="B241" t="s">
        <v>7</v>
      </c>
      <c r="C241">
        <v>38.06</v>
      </c>
      <c r="D241">
        <v>1</v>
      </c>
      <c r="E241" t="s">
        <v>4</v>
      </c>
      <c r="F241" t="s">
        <v>5</v>
      </c>
      <c r="G241" s="2">
        <v>7152.6714000000002</v>
      </c>
      <c r="H241" s="1" t="str">
        <f>IF(A241&lt;31,"18-30",IF(A241&lt;46,"31-45",IF(A241&lt;61,"46-60","60+")))</f>
        <v>31-45</v>
      </c>
      <c r="I241" t="str">
        <f>IF(C241&lt;18.5,"Underweight",IF(C241&lt;25,"Normal",IF(C241&lt;30,"Overweight","Obese")))</f>
        <v>Obese</v>
      </c>
      <c r="J241">
        <f>IF(E241="yes",1,0)</f>
        <v>0</v>
      </c>
      <c r="K241" t="str">
        <f>IF(G241&gt;15000,"High","Low")</f>
        <v>Low</v>
      </c>
    </row>
    <row r="242" spans="1:11" x14ac:dyDescent="0.35">
      <c r="A242">
        <v>23</v>
      </c>
      <c r="B242" t="s">
        <v>2</v>
      </c>
      <c r="C242">
        <v>36.67</v>
      </c>
      <c r="D242">
        <v>2</v>
      </c>
      <c r="E242" t="s">
        <v>1</v>
      </c>
      <c r="F242" t="s">
        <v>6</v>
      </c>
      <c r="G242" s="2">
        <v>38511.628299999997</v>
      </c>
      <c r="H242" s="1" t="str">
        <f>IF(A242&lt;31,"18-30",IF(A242&lt;46,"31-45",IF(A242&lt;61,"46-60","60+")))</f>
        <v>18-30</v>
      </c>
      <c r="I242" t="str">
        <f>IF(C242&lt;18.5,"Underweight",IF(C242&lt;25,"Normal",IF(C242&lt;30,"Overweight","Obese")))</f>
        <v>Obese</v>
      </c>
      <c r="J242">
        <f>IF(E242="yes",1,0)</f>
        <v>1</v>
      </c>
      <c r="K242" t="str">
        <f>IF(G242&gt;15000,"High","Low")</f>
        <v>High</v>
      </c>
    </row>
    <row r="243" spans="1:11" x14ac:dyDescent="0.35">
      <c r="A243">
        <v>33</v>
      </c>
      <c r="B243" t="s">
        <v>2</v>
      </c>
      <c r="C243">
        <v>22.135000000000002</v>
      </c>
      <c r="D243">
        <v>1</v>
      </c>
      <c r="E243" t="s">
        <v>4</v>
      </c>
      <c r="F243" t="s">
        <v>6</v>
      </c>
      <c r="G243" s="2">
        <v>5354.0746499999996</v>
      </c>
      <c r="H243" s="1" t="str">
        <f>IF(A243&lt;31,"18-30",IF(A243&lt;46,"31-45",IF(A243&lt;61,"46-60","60+")))</f>
        <v>31-45</v>
      </c>
      <c r="I243" t="str">
        <f>IF(C243&lt;18.5,"Underweight",IF(C243&lt;25,"Normal",IF(C243&lt;30,"Overweight","Obese")))</f>
        <v>Normal</v>
      </c>
      <c r="J243">
        <f>IF(E243="yes",1,0)</f>
        <v>0</v>
      </c>
      <c r="K243" t="str">
        <f>IF(G243&gt;15000,"High","Low")</f>
        <v>Low</v>
      </c>
    </row>
    <row r="244" spans="1:11" x14ac:dyDescent="0.35">
      <c r="A244">
        <v>55</v>
      </c>
      <c r="B244" t="s">
        <v>2</v>
      </c>
      <c r="C244">
        <v>26.8</v>
      </c>
      <c r="D244">
        <v>1</v>
      </c>
      <c r="E244" t="s">
        <v>4</v>
      </c>
      <c r="F244" t="s">
        <v>3</v>
      </c>
      <c r="G244" s="2">
        <v>35160.134570000002</v>
      </c>
      <c r="H244" s="1" t="str">
        <f>IF(A244&lt;31,"18-30",IF(A244&lt;46,"31-45",IF(A244&lt;61,"46-60","60+")))</f>
        <v>46-60</v>
      </c>
      <c r="I244" t="str">
        <f>IF(C244&lt;18.5,"Underweight",IF(C244&lt;25,"Normal",IF(C244&lt;30,"Overweight","Obese")))</f>
        <v>Overweight</v>
      </c>
      <c r="J244">
        <f>IF(E244="yes",1,0)</f>
        <v>0</v>
      </c>
      <c r="K244" t="str">
        <f>IF(G244&gt;15000,"High","Low")</f>
        <v>High</v>
      </c>
    </row>
    <row r="245" spans="1:11" x14ac:dyDescent="0.35">
      <c r="A245">
        <v>40</v>
      </c>
      <c r="B245" t="s">
        <v>7</v>
      </c>
      <c r="C245">
        <v>35.299999999999997</v>
      </c>
      <c r="D245">
        <v>3</v>
      </c>
      <c r="E245" t="s">
        <v>4</v>
      </c>
      <c r="F245" t="s">
        <v>3</v>
      </c>
      <c r="G245" s="2">
        <v>7196.8670000000002</v>
      </c>
      <c r="H245" s="1" t="str">
        <f>IF(A245&lt;31,"18-30",IF(A245&lt;46,"31-45",IF(A245&lt;61,"46-60","60+")))</f>
        <v>31-45</v>
      </c>
      <c r="I245" t="str">
        <f>IF(C245&lt;18.5,"Underweight",IF(C245&lt;25,"Normal",IF(C245&lt;30,"Overweight","Obese")))</f>
        <v>Obese</v>
      </c>
      <c r="J245">
        <f>IF(E245="yes",1,0)</f>
        <v>0</v>
      </c>
      <c r="K245" t="str">
        <f>IF(G245&gt;15000,"High","Low")</f>
        <v>Low</v>
      </c>
    </row>
    <row r="246" spans="1:11" x14ac:dyDescent="0.35">
      <c r="A246">
        <v>63</v>
      </c>
      <c r="B246" t="s">
        <v>2</v>
      </c>
      <c r="C246">
        <v>27.74</v>
      </c>
      <c r="D246">
        <v>0</v>
      </c>
      <c r="E246" t="s">
        <v>1</v>
      </c>
      <c r="F246" t="s">
        <v>6</v>
      </c>
      <c r="G246" s="2">
        <v>29523.1656</v>
      </c>
      <c r="H246" s="1" t="str">
        <f>IF(A246&lt;31,"18-30",IF(A246&lt;46,"31-45",IF(A246&lt;61,"46-60","60+")))</f>
        <v>60+</v>
      </c>
      <c r="I246" t="str">
        <f>IF(C246&lt;18.5,"Underweight",IF(C246&lt;25,"Normal",IF(C246&lt;30,"Overweight","Obese")))</f>
        <v>Overweight</v>
      </c>
      <c r="J246">
        <f>IF(E246="yes",1,0)</f>
        <v>1</v>
      </c>
      <c r="K246" t="str">
        <f>IF(G246&gt;15000,"High","Low")</f>
        <v>High</v>
      </c>
    </row>
    <row r="247" spans="1:11" x14ac:dyDescent="0.35">
      <c r="A247">
        <v>54</v>
      </c>
      <c r="B247" t="s">
        <v>7</v>
      </c>
      <c r="C247">
        <v>30.02</v>
      </c>
      <c r="D247">
        <v>0</v>
      </c>
      <c r="E247" t="s">
        <v>4</v>
      </c>
      <c r="F247" t="s">
        <v>0</v>
      </c>
      <c r="G247" s="2">
        <v>24476.478510000001</v>
      </c>
      <c r="H247" s="1" t="str">
        <f>IF(A247&lt;31,"18-30",IF(A247&lt;46,"31-45",IF(A247&lt;61,"46-60","60+")))</f>
        <v>46-60</v>
      </c>
      <c r="I247" t="str">
        <f>IF(C247&lt;18.5,"Underweight",IF(C247&lt;25,"Normal",IF(C247&lt;30,"Overweight","Obese")))</f>
        <v>Obese</v>
      </c>
      <c r="J247">
        <f>IF(E247="yes",1,0)</f>
        <v>0</v>
      </c>
      <c r="K247" t="str">
        <f>IF(G247&gt;15000,"High","Low")</f>
        <v>High</v>
      </c>
    </row>
    <row r="248" spans="1:11" x14ac:dyDescent="0.35">
      <c r="A248">
        <v>60</v>
      </c>
      <c r="B248" t="s">
        <v>2</v>
      </c>
      <c r="C248">
        <v>38.06</v>
      </c>
      <c r="D248">
        <v>0</v>
      </c>
      <c r="E248" t="s">
        <v>4</v>
      </c>
      <c r="F248" t="s">
        <v>5</v>
      </c>
      <c r="G248" s="2">
        <v>12648.7034</v>
      </c>
      <c r="H248" s="1" t="str">
        <f>IF(A248&lt;31,"18-30",IF(A248&lt;46,"31-45",IF(A248&lt;61,"46-60","60+")))</f>
        <v>46-60</v>
      </c>
      <c r="I248" t="str">
        <f>IF(C248&lt;18.5,"Underweight",IF(C248&lt;25,"Normal",IF(C248&lt;30,"Overweight","Obese")))</f>
        <v>Obese</v>
      </c>
      <c r="J248">
        <f>IF(E248="yes",1,0)</f>
        <v>0</v>
      </c>
      <c r="K248" t="str">
        <f>IF(G248&gt;15000,"High","Low")</f>
        <v>Low</v>
      </c>
    </row>
    <row r="249" spans="1:11" x14ac:dyDescent="0.35">
      <c r="A249">
        <v>24</v>
      </c>
      <c r="B249" t="s">
        <v>7</v>
      </c>
      <c r="C249">
        <v>35.86</v>
      </c>
      <c r="D249">
        <v>0</v>
      </c>
      <c r="E249" t="s">
        <v>4</v>
      </c>
      <c r="F249" t="s">
        <v>5</v>
      </c>
      <c r="G249" s="2">
        <v>1986.9333999999999</v>
      </c>
      <c r="H249" s="1" t="str">
        <f>IF(A249&lt;31,"18-30",IF(A249&lt;46,"31-45",IF(A249&lt;61,"46-60","60+")))</f>
        <v>18-30</v>
      </c>
      <c r="I249" t="str">
        <f>IF(C249&lt;18.5,"Underweight",IF(C249&lt;25,"Normal",IF(C249&lt;30,"Overweight","Obese")))</f>
        <v>Obese</v>
      </c>
      <c r="J249">
        <f>IF(E249="yes",1,0)</f>
        <v>0</v>
      </c>
      <c r="K249" t="str">
        <f>IF(G249&gt;15000,"High","Low")</f>
        <v>Low</v>
      </c>
    </row>
    <row r="250" spans="1:11" x14ac:dyDescent="0.35">
      <c r="A250">
        <v>19</v>
      </c>
      <c r="B250" t="s">
        <v>7</v>
      </c>
      <c r="C250">
        <v>20.9</v>
      </c>
      <c r="D250">
        <v>1</v>
      </c>
      <c r="E250" t="s">
        <v>4</v>
      </c>
      <c r="F250" t="s">
        <v>3</v>
      </c>
      <c r="G250" s="2">
        <v>1832.0940000000001</v>
      </c>
      <c r="H250" s="1" t="str">
        <f>IF(A250&lt;31,"18-30",IF(A250&lt;46,"31-45",IF(A250&lt;61,"46-60","60+")))</f>
        <v>18-30</v>
      </c>
      <c r="I250" t="str">
        <f>IF(C250&lt;18.5,"Underweight",IF(C250&lt;25,"Normal",IF(C250&lt;30,"Overweight","Obese")))</f>
        <v>Normal</v>
      </c>
      <c r="J250">
        <f>IF(E250="yes",1,0)</f>
        <v>0</v>
      </c>
      <c r="K250" t="str">
        <f>IF(G250&gt;15000,"High","Low")</f>
        <v>Low</v>
      </c>
    </row>
    <row r="251" spans="1:11" x14ac:dyDescent="0.35">
      <c r="A251">
        <v>29</v>
      </c>
      <c r="B251" t="s">
        <v>7</v>
      </c>
      <c r="C251">
        <v>28.975000000000001</v>
      </c>
      <c r="D251">
        <v>1</v>
      </c>
      <c r="E251" t="s">
        <v>4</v>
      </c>
      <c r="F251" t="s">
        <v>6</v>
      </c>
      <c r="G251" s="2">
        <v>4040.55825</v>
      </c>
      <c r="H251" s="1" t="str">
        <f>IF(A251&lt;31,"18-30",IF(A251&lt;46,"31-45",IF(A251&lt;61,"46-60","60+")))</f>
        <v>18-30</v>
      </c>
      <c r="I251" t="str">
        <f>IF(C251&lt;18.5,"Underweight",IF(C251&lt;25,"Normal",IF(C251&lt;30,"Overweight","Obese")))</f>
        <v>Overweight</v>
      </c>
      <c r="J251">
        <f>IF(E251="yes",1,0)</f>
        <v>0</v>
      </c>
      <c r="K251" t="str">
        <f>IF(G251&gt;15000,"High","Low")</f>
        <v>Low</v>
      </c>
    </row>
    <row r="252" spans="1:11" x14ac:dyDescent="0.35">
      <c r="A252">
        <v>18</v>
      </c>
      <c r="B252" t="s">
        <v>7</v>
      </c>
      <c r="C252">
        <v>17.29</v>
      </c>
      <c r="D252">
        <v>2</v>
      </c>
      <c r="E252" t="s">
        <v>1</v>
      </c>
      <c r="F252" t="s">
        <v>6</v>
      </c>
      <c r="G252" s="2">
        <v>12829.455099999999</v>
      </c>
      <c r="H252" s="1" t="str">
        <f>IF(A252&lt;31,"18-30",IF(A252&lt;46,"31-45",IF(A252&lt;61,"46-60","60+")))</f>
        <v>18-30</v>
      </c>
      <c r="I252" t="str">
        <f>IF(C252&lt;18.5,"Underweight",IF(C252&lt;25,"Normal",IF(C252&lt;30,"Overweight","Obese")))</f>
        <v>Underweight</v>
      </c>
      <c r="J252">
        <f>IF(E252="yes",1,0)</f>
        <v>1</v>
      </c>
      <c r="K252" t="str">
        <f>IF(G252&gt;15000,"High","Low")</f>
        <v>Low</v>
      </c>
    </row>
    <row r="253" spans="1:11" x14ac:dyDescent="0.35">
      <c r="A253">
        <v>63</v>
      </c>
      <c r="B253" t="s">
        <v>2</v>
      </c>
      <c r="C253">
        <v>32.200000000000003</v>
      </c>
      <c r="D253">
        <v>2</v>
      </c>
      <c r="E253" t="s">
        <v>1</v>
      </c>
      <c r="F253" t="s">
        <v>3</v>
      </c>
      <c r="G253" s="2">
        <v>47305.305</v>
      </c>
      <c r="H253" s="1" t="str">
        <f>IF(A253&lt;31,"18-30",IF(A253&lt;46,"31-45",IF(A253&lt;61,"46-60","60+")))</f>
        <v>60+</v>
      </c>
      <c r="I253" t="str">
        <f>IF(C253&lt;18.5,"Underweight",IF(C253&lt;25,"Normal",IF(C253&lt;30,"Overweight","Obese")))</f>
        <v>Obese</v>
      </c>
      <c r="J253">
        <f>IF(E253="yes",1,0)</f>
        <v>1</v>
      </c>
      <c r="K253" t="str">
        <f>IF(G253&gt;15000,"High","Low")</f>
        <v>High</v>
      </c>
    </row>
    <row r="254" spans="1:11" x14ac:dyDescent="0.35">
      <c r="A254">
        <v>54</v>
      </c>
      <c r="B254" t="s">
        <v>7</v>
      </c>
      <c r="C254">
        <v>34.21</v>
      </c>
      <c r="D254">
        <v>2</v>
      </c>
      <c r="E254" t="s">
        <v>1</v>
      </c>
      <c r="F254" t="s">
        <v>5</v>
      </c>
      <c r="G254" s="2">
        <v>44260.749900000003</v>
      </c>
      <c r="H254" s="1" t="str">
        <f>IF(A254&lt;31,"18-30",IF(A254&lt;46,"31-45",IF(A254&lt;61,"46-60","60+")))</f>
        <v>46-60</v>
      </c>
      <c r="I254" t="str">
        <f>IF(C254&lt;18.5,"Underweight",IF(C254&lt;25,"Normal",IF(C254&lt;30,"Overweight","Obese")))</f>
        <v>Obese</v>
      </c>
      <c r="J254">
        <f>IF(E254="yes",1,0)</f>
        <v>1</v>
      </c>
      <c r="K254" t="str">
        <f>IF(G254&gt;15000,"High","Low")</f>
        <v>High</v>
      </c>
    </row>
    <row r="255" spans="1:11" x14ac:dyDescent="0.35">
      <c r="A255">
        <v>27</v>
      </c>
      <c r="B255" t="s">
        <v>7</v>
      </c>
      <c r="C255">
        <v>30.3</v>
      </c>
      <c r="D255">
        <v>3</v>
      </c>
      <c r="E255" t="s">
        <v>4</v>
      </c>
      <c r="F255" t="s">
        <v>3</v>
      </c>
      <c r="G255" s="2">
        <v>4260.7439999999997</v>
      </c>
      <c r="H255" s="1" t="str">
        <f>IF(A255&lt;31,"18-30",IF(A255&lt;46,"31-45",IF(A255&lt;61,"46-60","60+")))</f>
        <v>18-30</v>
      </c>
      <c r="I255" t="str">
        <f>IF(C255&lt;18.5,"Underweight",IF(C255&lt;25,"Normal",IF(C255&lt;30,"Overweight","Obese")))</f>
        <v>Obese</v>
      </c>
      <c r="J255">
        <f>IF(E255="yes",1,0)</f>
        <v>0</v>
      </c>
      <c r="K255" t="str">
        <f>IF(G255&gt;15000,"High","Low")</f>
        <v>Low</v>
      </c>
    </row>
    <row r="256" spans="1:11" x14ac:dyDescent="0.35">
      <c r="A256">
        <v>50</v>
      </c>
      <c r="B256" t="s">
        <v>7</v>
      </c>
      <c r="C256">
        <v>31.824999999999999</v>
      </c>
      <c r="D256">
        <v>0</v>
      </c>
      <c r="E256" t="s">
        <v>1</v>
      </c>
      <c r="F256" t="s">
        <v>6</v>
      </c>
      <c r="G256" s="2">
        <v>41097.161749999999</v>
      </c>
      <c r="H256" s="1" t="str">
        <f>IF(A256&lt;31,"18-30",IF(A256&lt;46,"31-45",IF(A256&lt;61,"46-60","60+")))</f>
        <v>46-60</v>
      </c>
      <c r="I256" t="str">
        <f>IF(C256&lt;18.5,"Underweight",IF(C256&lt;25,"Normal",IF(C256&lt;30,"Overweight","Obese")))</f>
        <v>Obese</v>
      </c>
      <c r="J256">
        <f>IF(E256="yes",1,0)</f>
        <v>1</v>
      </c>
      <c r="K256" t="str">
        <f>IF(G256&gt;15000,"High","Low")</f>
        <v>High</v>
      </c>
    </row>
    <row r="257" spans="1:11" x14ac:dyDescent="0.35">
      <c r="A257">
        <v>55</v>
      </c>
      <c r="B257" t="s">
        <v>2</v>
      </c>
      <c r="C257">
        <v>25.364999999999998</v>
      </c>
      <c r="D257">
        <v>3</v>
      </c>
      <c r="E257" t="s">
        <v>4</v>
      </c>
      <c r="F257" t="s">
        <v>6</v>
      </c>
      <c r="G257" s="2">
        <v>13047.332350000001</v>
      </c>
      <c r="H257" s="1" t="str">
        <f>IF(A257&lt;31,"18-30",IF(A257&lt;46,"31-45",IF(A257&lt;61,"46-60","60+")))</f>
        <v>46-60</v>
      </c>
      <c r="I257" t="str">
        <f>IF(C257&lt;18.5,"Underweight",IF(C257&lt;25,"Normal",IF(C257&lt;30,"Overweight","Obese")))</f>
        <v>Overweight</v>
      </c>
      <c r="J257">
        <f>IF(E257="yes",1,0)</f>
        <v>0</v>
      </c>
      <c r="K257" t="str">
        <f>IF(G257&gt;15000,"High","Low")</f>
        <v>Low</v>
      </c>
    </row>
    <row r="258" spans="1:11" x14ac:dyDescent="0.35">
      <c r="A258">
        <v>56</v>
      </c>
      <c r="B258" t="s">
        <v>7</v>
      </c>
      <c r="C258">
        <v>33.630000000000003</v>
      </c>
      <c r="D258">
        <v>0</v>
      </c>
      <c r="E258" t="s">
        <v>1</v>
      </c>
      <c r="F258" t="s">
        <v>0</v>
      </c>
      <c r="G258" s="2">
        <v>43921.183700000001</v>
      </c>
      <c r="H258" s="1" t="str">
        <f>IF(A258&lt;31,"18-30",IF(A258&lt;46,"31-45",IF(A258&lt;61,"46-60","60+")))</f>
        <v>46-60</v>
      </c>
      <c r="I258" t="str">
        <f>IF(C258&lt;18.5,"Underweight",IF(C258&lt;25,"Normal",IF(C258&lt;30,"Overweight","Obese")))</f>
        <v>Obese</v>
      </c>
      <c r="J258">
        <f>IF(E258="yes",1,0)</f>
        <v>1</v>
      </c>
      <c r="K258" t="str">
        <f>IF(G258&gt;15000,"High","Low")</f>
        <v>High</v>
      </c>
    </row>
    <row r="259" spans="1:11" x14ac:dyDescent="0.35">
      <c r="A259">
        <v>38</v>
      </c>
      <c r="B259" t="s">
        <v>2</v>
      </c>
      <c r="C259">
        <v>40.15</v>
      </c>
      <c r="D259">
        <v>0</v>
      </c>
      <c r="E259" t="s">
        <v>4</v>
      </c>
      <c r="F259" t="s">
        <v>5</v>
      </c>
      <c r="G259" s="2">
        <v>5400.9804999999997</v>
      </c>
      <c r="H259" s="1" t="str">
        <f>IF(A259&lt;31,"18-30",IF(A259&lt;46,"31-45",IF(A259&lt;61,"46-60","60+")))</f>
        <v>31-45</v>
      </c>
      <c r="I259" t="str">
        <f>IF(C259&lt;18.5,"Underweight",IF(C259&lt;25,"Normal",IF(C259&lt;30,"Overweight","Obese")))</f>
        <v>Obese</v>
      </c>
      <c r="J259">
        <f>IF(E259="yes",1,0)</f>
        <v>0</v>
      </c>
      <c r="K259" t="str">
        <f>IF(G259&gt;15000,"High","Low")</f>
        <v>Low</v>
      </c>
    </row>
    <row r="260" spans="1:11" x14ac:dyDescent="0.35">
      <c r="A260">
        <v>51</v>
      </c>
      <c r="B260" t="s">
        <v>7</v>
      </c>
      <c r="C260">
        <v>24.414999999999999</v>
      </c>
      <c r="D260">
        <v>4</v>
      </c>
      <c r="E260" t="s">
        <v>4</v>
      </c>
      <c r="F260" t="s">
        <v>0</v>
      </c>
      <c r="G260" s="2">
        <v>11520.099850000001</v>
      </c>
      <c r="H260" s="1" t="str">
        <f>IF(A260&lt;31,"18-30",IF(A260&lt;46,"31-45",IF(A260&lt;61,"46-60","60+")))</f>
        <v>46-60</v>
      </c>
      <c r="I260" t="str">
        <f>IF(C260&lt;18.5,"Underweight",IF(C260&lt;25,"Normal",IF(C260&lt;30,"Overweight","Obese")))</f>
        <v>Normal</v>
      </c>
      <c r="J260">
        <f>IF(E260="yes",1,0)</f>
        <v>0</v>
      </c>
      <c r="K260" t="str">
        <f>IF(G260&gt;15000,"High","Low")</f>
        <v>Low</v>
      </c>
    </row>
    <row r="261" spans="1:11" x14ac:dyDescent="0.35">
      <c r="A261">
        <v>19</v>
      </c>
      <c r="B261" t="s">
        <v>7</v>
      </c>
      <c r="C261">
        <v>31.92</v>
      </c>
      <c r="D261">
        <v>0</v>
      </c>
      <c r="E261" t="s">
        <v>1</v>
      </c>
      <c r="F261" t="s">
        <v>0</v>
      </c>
      <c r="G261" s="2">
        <v>33750.291799999999</v>
      </c>
      <c r="H261" s="1" t="str">
        <f>IF(A261&lt;31,"18-30",IF(A261&lt;46,"31-45",IF(A261&lt;61,"46-60","60+")))</f>
        <v>18-30</v>
      </c>
      <c r="I261" t="str">
        <f>IF(C261&lt;18.5,"Underweight",IF(C261&lt;25,"Normal",IF(C261&lt;30,"Overweight","Obese")))</f>
        <v>Obese</v>
      </c>
      <c r="J261">
        <f>IF(E261="yes",1,0)</f>
        <v>1</v>
      </c>
      <c r="K261" t="str">
        <f>IF(G261&gt;15000,"High","Low")</f>
        <v>High</v>
      </c>
    </row>
    <row r="262" spans="1:11" x14ac:dyDescent="0.35">
      <c r="A262">
        <v>58</v>
      </c>
      <c r="B262" t="s">
        <v>2</v>
      </c>
      <c r="C262">
        <v>25.2</v>
      </c>
      <c r="D262">
        <v>0</v>
      </c>
      <c r="E262" t="s">
        <v>4</v>
      </c>
      <c r="F262" t="s">
        <v>3</v>
      </c>
      <c r="G262" s="2">
        <v>11837.16</v>
      </c>
      <c r="H262" s="1" t="str">
        <f>IF(A262&lt;31,"18-30",IF(A262&lt;46,"31-45",IF(A262&lt;61,"46-60","60+")))</f>
        <v>46-60</v>
      </c>
      <c r="I262" t="str">
        <f>IF(C262&lt;18.5,"Underweight",IF(C262&lt;25,"Normal",IF(C262&lt;30,"Overweight","Obese")))</f>
        <v>Overweight</v>
      </c>
      <c r="J262">
        <f>IF(E262="yes",1,0)</f>
        <v>0</v>
      </c>
      <c r="K262" t="str">
        <f>IF(G262&gt;15000,"High","Low")</f>
        <v>Low</v>
      </c>
    </row>
    <row r="263" spans="1:11" x14ac:dyDescent="0.35">
      <c r="A263">
        <v>20</v>
      </c>
      <c r="B263" t="s">
        <v>2</v>
      </c>
      <c r="C263">
        <v>26.84</v>
      </c>
      <c r="D263">
        <v>1</v>
      </c>
      <c r="E263" t="s">
        <v>1</v>
      </c>
      <c r="F263" t="s">
        <v>5</v>
      </c>
      <c r="G263" s="2">
        <v>17085.267599999999</v>
      </c>
      <c r="H263" s="1" t="str">
        <f>IF(A263&lt;31,"18-30",IF(A263&lt;46,"31-45",IF(A263&lt;61,"46-60","60+")))</f>
        <v>18-30</v>
      </c>
      <c r="I263" t="str">
        <f>IF(C263&lt;18.5,"Underweight",IF(C263&lt;25,"Normal",IF(C263&lt;30,"Overweight","Obese")))</f>
        <v>Overweight</v>
      </c>
      <c r="J263">
        <f>IF(E263="yes",1,0)</f>
        <v>1</v>
      </c>
      <c r="K263" t="str">
        <f>IF(G263&gt;15000,"High","Low")</f>
        <v>High</v>
      </c>
    </row>
    <row r="264" spans="1:11" x14ac:dyDescent="0.35">
      <c r="A264">
        <v>52</v>
      </c>
      <c r="B264" t="s">
        <v>7</v>
      </c>
      <c r="C264">
        <v>24.32</v>
      </c>
      <c r="D264">
        <v>3</v>
      </c>
      <c r="E264" t="s">
        <v>1</v>
      </c>
      <c r="F264" t="s">
        <v>6</v>
      </c>
      <c r="G264" s="2">
        <v>24869.836800000001</v>
      </c>
      <c r="H264" s="1" t="str">
        <f>IF(A264&lt;31,"18-30",IF(A264&lt;46,"31-45",IF(A264&lt;61,"46-60","60+")))</f>
        <v>46-60</v>
      </c>
      <c r="I264" t="str">
        <f>IF(C264&lt;18.5,"Underweight",IF(C264&lt;25,"Normal",IF(C264&lt;30,"Overweight","Obese")))</f>
        <v>Normal</v>
      </c>
      <c r="J264">
        <f>IF(E264="yes",1,0)</f>
        <v>1</v>
      </c>
      <c r="K264" t="str">
        <f>IF(G264&gt;15000,"High","Low")</f>
        <v>High</v>
      </c>
    </row>
    <row r="265" spans="1:11" x14ac:dyDescent="0.35">
      <c r="A265">
        <v>19</v>
      </c>
      <c r="B265" t="s">
        <v>7</v>
      </c>
      <c r="C265">
        <v>36.954999999999998</v>
      </c>
      <c r="D265">
        <v>0</v>
      </c>
      <c r="E265" t="s">
        <v>1</v>
      </c>
      <c r="F265" t="s">
        <v>0</v>
      </c>
      <c r="G265" s="2">
        <v>36219.405449999998</v>
      </c>
      <c r="H265" s="1" t="str">
        <f>IF(A265&lt;31,"18-30",IF(A265&lt;46,"31-45",IF(A265&lt;61,"46-60","60+")))</f>
        <v>18-30</v>
      </c>
      <c r="I265" t="str">
        <f>IF(C265&lt;18.5,"Underweight",IF(C265&lt;25,"Normal",IF(C265&lt;30,"Overweight","Obese")))</f>
        <v>Obese</v>
      </c>
      <c r="J265">
        <f>IF(E265="yes",1,0)</f>
        <v>1</v>
      </c>
      <c r="K265" t="str">
        <f>IF(G265&gt;15000,"High","Low")</f>
        <v>High</v>
      </c>
    </row>
    <row r="266" spans="1:11" x14ac:dyDescent="0.35">
      <c r="A266">
        <v>53</v>
      </c>
      <c r="B266" t="s">
        <v>2</v>
      </c>
      <c r="C266">
        <v>38.06</v>
      </c>
      <c r="D266">
        <v>3</v>
      </c>
      <c r="E266" t="s">
        <v>4</v>
      </c>
      <c r="F266" t="s">
        <v>5</v>
      </c>
      <c r="G266" s="2">
        <v>20462.997660000001</v>
      </c>
      <c r="H266" s="1" t="str">
        <f>IF(A266&lt;31,"18-30",IF(A266&lt;46,"31-45",IF(A266&lt;61,"46-60","60+")))</f>
        <v>46-60</v>
      </c>
      <c r="I266" t="str">
        <f>IF(C266&lt;18.5,"Underweight",IF(C266&lt;25,"Normal",IF(C266&lt;30,"Overweight","Obese")))</f>
        <v>Obese</v>
      </c>
      <c r="J266">
        <f>IF(E266="yes",1,0)</f>
        <v>0</v>
      </c>
      <c r="K266" t="str">
        <f>IF(G266&gt;15000,"High","Low")</f>
        <v>High</v>
      </c>
    </row>
    <row r="267" spans="1:11" x14ac:dyDescent="0.35">
      <c r="A267">
        <v>46</v>
      </c>
      <c r="B267" t="s">
        <v>7</v>
      </c>
      <c r="C267">
        <v>42.35</v>
      </c>
      <c r="D267">
        <v>3</v>
      </c>
      <c r="E267" t="s">
        <v>1</v>
      </c>
      <c r="F267" t="s">
        <v>5</v>
      </c>
      <c r="G267" s="2">
        <v>46151.124499999998</v>
      </c>
      <c r="H267" s="1" t="str">
        <f>IF(A267&lt;31,"18-30",IF(A267&lt;46,"31-45",IF(A267&lt;61,"46-60","60+")))</f>
        <v>46-60</v>
      </c>
      <c r="I267" t="str">
        <f>IF(C267&lt;18.5,"Underweight",IF(C267&lt;25,"Normal",IF(C267&lt;30,"Overweight","Obese")))</f>
        <v>Obese</v>
      </c>
      <c r="J267">
        <f>IF(E267="yes",1,0)</f>
        <v>1</v>
      </c>
      <c r="K267" t="str">
        <f>IF(G267&gt;15000,"High","Low")</f>
        <v>High</v>
      </c>
    </row>
    <row r="268" spans="1:11" x14ac:dyDescent="0.35">
      <c r="A268">
        <v>40</v>
      </c>
      <c r="B268" t="s">
        <v>7</v>
      </c>
      <c r="C268">
        <v>19.8</v>
      </c>
      <c r="D268">
        <v>1</v>
      </c>
      <c r="E268" t="s">
        <v>1</v>
      </c>
      <c r="F268" t="s">
        <v>5</v>
      </c>
      <c r="G268" s="2">
        <v>17179.522000000001</v>
      </c>
      <c r="H268" s="1" t="str">
        <f>IF(A268&lt;31,"18-30",IF(A268&lt;46,"31-45",IF(A268&lt;61,"46-60","60+")))</f>
        <v>31-45</v>
      </c>
      <c r="I268" t="str">
        <f>IF(C268&lt;18.5,"Underweight",IF(C268&lt;25,"Normal",IF(C268&lt;30,"Overweight","Obese")))</f>
        <v>Normal</v>
      </c>
      <c r="J268">
        <f>IF(E268="yes",1,0)</f>
        <v>1</v>
      </c>
      <c r="K268" t="str">
        <f>IF(G268&gt;15000,"High","Low")</f>
        <v>High</v>
      </c>
    </row>
    <row r="269" spans="1:11" x14ac:dyDescent="0.35">
      <c r="A269">
        <v>59</v>
      </c>
      <c r="B269" t="s">
        <v>2</v>
      </c>
      <c r="C269">
        <v>32.395000000000003</v>
      </c>
      <c r="D269">
        <v>3</v>
      </c>
      <c r="E269" t="s">
        <v>4</v>
      </c>
      <c r="F269" t="s">
        <v>6</v>
      </c>
      <c r="G269" s="2">
        <v>14590.63205</v>
      </c>
      <c r="H269" s="1" t="str">
        <f>IF(A269&lt;31,"18-30",IF(A269&lt;46,"31-45",IF(A269&lt;61,"46-60","60+")))</f>
        <v>46-60</v>
      </c>
      <c r="I269" t="str">
        <f>IF(C269&lt;18.5,"Underweight",IF(C269&lt;25,"Normal",IF(C269&lt;30,"Overweight","Obese")))</f>
        <v>Obese</v>
      </c>
      <c r="J269">
        <f>IF(E269="yes",1,0)</f>
        <v>0</v>
      </c>
      <c r="K269" t="str">
        <f>IF(G269&gt;15000,"High","Low")</f>
        <v>Low</v>
      </c>
    </row>
    <row r="270" spans="1:11" x14ac:dyDescent="0.35">
      <c r="A270">
        <v>45</v>
      </c>
      <c r="B270" t="s">
        <v>7</v>
      </c>
      <c r="C270">
        <v>30.2</v>
      </c>
      <c r="D270">
        <v>1</v>
      </c>
      <c r="E270" t="s">
        <v>4</v>
      </c>
      <c r="F270" t="s">
        <v>3</v>
      </c>
      <c r="G270" s="2">
        <v>7441.0529999999999</v>
      </c>
      <c r="H270" s="1" t="str">
        <f>IF(A270&lt;31,"18-30",IF(A270&lt;46,"31-45",IF(A270&lt;61,"46-60","60+")))</f>
        <v>31-45</v>
      </c>
      <c r="I270" t="str">
        <f>IF(C270&lt;18.5,"Underweight",IF(C270&lt;25,"Normal",IF(C270&lt;30,"Overweight","Obese")))</f>
        <v>Obese</v>
      </c>
      <c r="J270">
        <f>IF(E270="yes",1,0)</f>
        <v>0</v>
      </c>
      <c r="K270" t="str">
        <f>IF(G270&gt;15000,"High","Low")</f>
        <v>Low</v>
      </c>
    </row>
    <row r="271" spans="1:11" x14ac:dyDescent="0.35">
      <c r="A271">
        <v>49</v>
      </c>
      <c r="B271" t="s">
        <v>7</v>
      </c>
      <c r="C271">
        <v>25.84</v>
      </c>
      <c r="D271">
        <v>1</v>
      </c>
      <c r="E271" t="s">
        <v>4</v>
      </c>
      <c r="F271" t="s">
        <v>6</v>
      </c>
      <c r="G271" s="2">
        <v>9282.4806000000008</v>
      </c>
      <c r="H271" s="1" t="str">
        <f>IF(A271&lt;31,"18-30",IF(A271&lt;46,"31-45",IF(A271&lt;61,"46-60","60+")))</f>
        <v>46-60</v>
      </c>
      <c r="I271" t="str">
        <f>IF(C271&lt;18.5,"Underweight",IF(C271&lt;25,"Normal",IF(C271&lt;30,"Overweight","Obese")))</f>
        <v>Overweight</v>
      </c>
      <c r="J271">
        <f>IF(E271="yes",1,0)</f>
        <v>0</v>
      </c>
      <c r="K271" t="str">
        <f>IF(G271&gt;15000,"High","Low")</f>
        <v>Low</v>
      </c>
    </row>
    <row r="272" spans="1:11" x14ac:dyDescent="0.35">
      <c r="A272">
        <v>18</v>
      </c>
      <c r="B272" t="s">
        <v>7</v>
      </c>
      <c r="C272">
        <v>29.37</v>
      </c>
      <c r="D272">
        <v>1</v>
      </c>
      <c r="E272" t="s">
        <v>4</v>
      </c>
      <c r="F272" t="s">
        <v>5</v>
      </c>
      <c r="G272" s="2">
        <v>1719.4363000000001</v>
      </c>
      <c r="H272" s="1" t="str">
        <f>IF(A272&lt;31,"18-30",IF(A272&lt;46,"31-45",IF(A272&lt;61,"46-60","60+")))</f>
        <v>18-30</v>
      </c>
      <c r="I272" t="str">
        <f>IF(C272&lt;18.5,"Underweight",IF(C272&lt;25,"Normal",IF(C272&lt;30,"Overweight","Obese")))</f>
        <v>Overweight</v>
      </c>
      <c r="J272">
        <f>IF(E272="yes",1,0)</f>
        <v>0</v>
      </c>
      <c r="K272" t="str">
        <f>IF(G272&gt;15000,"High","Low")</f>
        <v>Low</v>
      </c>
    </row>
    <row r="273" spans="1:11" x14ac:dyDescent="0.35">
      <c r="A273">
        <v>50</v>
      </c>
      <c r="B273" t="s">
        <v>7</v>
      </c>
      <c r="C273">
        <v>34.200000000000003</v>
      </c>
      <c r="D273">
        <v>2</v>
      </c>
      <c r="E273" t="s">
        <v>1</v>
      </c>
      <c r="F273" t="s">
        <v>3</v>
      </c>
      <c r="G273" s="2">
        <v>42856.838000000003</v>
      </c>
      <c r="H273" s="1" t="str">
        <f>IF(A273&lt;31,"18-30",IF(A273&lt;46,"31-45",IF(A273&lt;61,"46-60","60+")))</f>
        <v>46-60</v>
      </c>
      <c r="I273" t="str">
        <f>IF(C273&lt;18.5,"Underweight",IF(C273&lt;25,"Normal",IF(C273&lt;30,"Overweight","Obese")))</f>
        <v>Obese</v>
      </c>
      <c r="J273">
        <f>IF(E273="yes",1,0)</f>
        <v>1</v>
      </c>
      <c r="K273" t="str">
        <f>IF(G273&gt;15000,"High","Low")</f>
        <v>High</v>
      </c>
    </row>
    <row r="274" spans="1:11" x14ac:dyDescent="0.35">
      <c r="A274">
        <v>41</v>
      </c>
      <c r="B274" t="s">
        <v>7</v>
      </c>
      <c r="C274">
        <v>37.049999999999997</v>
      </c>
      <c r="D274">
        <v>2</v>
      </c>
      <c r="E274" t="s">
        <v>4</v>
      </c>
      <c r="F274" t="s">
        <v>0</v>
      </c>
      <c r="G274" s="2">
        <v>7265.7025000000003</v>
      </c>
      <c r="H274" s="1" t="str">
        <f>IF(A274&lt;31,"18-30",IF(A274&lt;46,"31-45",IF(A274&lt;61,"46-60","60+")))</f>
        <v>31-45</v>
      </c>
      <c r="I274" t="str">
        <f>IF(C274&lt;18.5,"Underweight",IF(C274&lt;25,"Normal",IF(C274&lt;30,"Overweight","Obese")))</f>
        <v>Obese</v>
      </c>
      <c r="J274">
        <f>IF(E274="yes",1,0)</f>
        <v>0</v>
      </c>
      <c r="K274" t="str">
        <f>IF(G274&gt;15000,"High","Low")</f>
        <v>Low</v>
      </c>
    </row>
    <row r="275" spans="1:11" x14ac:dyDescent="0.35">
      <c r="A275">
        <v>50</v>
      </c>
      <c r="B275" t="s">
        <v>7</v>
      </c>
      <c r="C275">
        <v>27.454999999999998</v>
      </c>
      <c r="D275">
        <v>1</v>
      </c>
      <c r="E275" t="s">
        <v>4</v>
      </c>
      <c r="F275" t="s">
        <v>6</v>
      </c>
      <c r="G275" s="2">
        <v>9617.6624499999998</v>
      </c>
      <c r="H275" s="1" t="str">
        <f>IF(A275&lt;31,"18-30",IF(A275&lt;46,"31-45",IF(A275&lt;61,"46-60","60+")))</f>
        <v>46-60</v>
      </c>
      <c r="I275" t="str">
        <f>IF(C275&lt;18.5,"Underweight",IF(C275&lt;25,"Normal",IF(C275&lt;30,"Overweight","Obese")))</f>
        <v>Overweight</v>
      </c>
      <c r="J275">
        <f>IF(E275="yes",1,0)</f>
        <v>0</v>
      </c>
      <c r="K275" t="str">
        <f>IF(G275&gt;15000,"High","Low")</f>
        <v>Low</v>
      </c>
    </row>
    <row r="276" spans="1:11" x14ac:dyDescent="0.35">
      <c r="A276">
        <v>25</v>
      </c>
      <c r="B276" t="s">
        <v>7</v>
      </c>
      <c r="C276">
        <v>27.55</v>
      </c>
      <c r="D276">
        <v>0</v>
      </c>
      <c r="E276" t="s">
        <v>4</v>
      </c>
      <c r="F276" t="s">
        <v>0</v>
      </c>
      <c r="G276" s="2">
        <v>2523.1695</v>
      </c>
      <c r="H276" s="1" t="str">
        <f>IF(A276&lt;31,"18-30",IF(A276&lt;46,"31-45",IF(A276&lt;61,"46-60","60+")))</f>
        <v>18-30</v>
      </c>
      <c r="I276" t="str">
        <f>IF(C276&lt;18.5,"Underweight",IF(C276&lt;25,"Normal",IF(C276&lt;30,"Overweight","Obese")))</f>
        <v>Overweight</v>
      </c>
      <c r="J276">
        <f>IF(E276="yes",1,0)</f>
        <v>0</v>
      </c>
      <c r="K276" t="str">
        <f>IF(G276&gt;15000,"High","Low")</f>
        <v>Low</v>
      </c>
    </row>
    <row r="277" spans="1:11" x14ac:dyDescent="0.35">
      <c r="A277">
        <v>47</v>
      </c>
      <c r="B277" t="s">
        <v>2</v>
      </c>
      <c r="C277">
        <v>26.6</v>
      </c>
      <c r="D277">
        <v>2</v>
      </c>
      <c r="E277" t="s">
        <v>4</v>
      </c>
      <c r="F277" t="s">
        <v>6</v>
      </c>
      <c r="G277" s="2">
        <v>9715.8410000000003</v>
      </c>
      <c r="H277" s="1" t="str">
        <f>IF(A277&lt;31,"18-30",IF(A277&lt;46,"31-45",IF(A277&lt;61,"46-60","60+")))</f>
        <v>46-60</v>
      </c>
      <c r="I277" t="str">
        <f>IF(C277&lt;18.5,"Underweight",IF(C277&lt;25,"Normal",IF(C277&lt;30,"Overweight","Obese")))</f>
        <v>Overweight</v>
      </c>
      <c r="J277">
        <f>IF(E277="yes",1,0)</f>
        <v>0</v>
      </c>
      <c r="K277" t="str">
        <f>IF(G277&gt;15000,"High","Low")</f>
        <v>Low</v>
      </c>
    </row>
    <row r="278" spans="1:11" x14ac:dyDescent="0.35">
      <c r="A278">
        <v>19</v>
      </c>
      <c r="B278" t="s">
        <v>7</v>
      </c>
      <c r="C278">
        <v>20.614999999999998</v>
      </c>
      <c r="D278">
        <v>2</v>
      </c>
      <c r="E278" t="s">
        <v>4</v>
      </c>
      <c r="F278" t="s">
        <v>0</v>
      </c>
      <c r="G278" s="2">
        <v>2803.69785</v>
      </c>
      <c r="H278" s="1" t="str">
        <f>IF(A278&lt;31,"18-30",IF(A278&lt;46,"31-45",IF(A278&lt;61,"46-60","60+")))</f>
        <v>18-30</v>
      </c>
      <c r="I278" t="str">
        <f>IF(C278&lt;18.5,"Underweight",IF(C278&lt;25,"Normal",IF(C278&lt;30,"Overweight","Obese")))</f>
        <v>Normal</v>
      </c>
      <c r="J278">
        <f>IF(E278="yes",1,0)</f>
        <v>0</v>
      </c>
      <c r="K278" t="str">
        <f>IF(G278&gt;15000,"High","Low")</f>
        <v>Low</v>
      </c>
    </row>
    <row r="279" spans="1:11" x14ac:dyDescent="0.35">
      <c r="A279">
        <v>22</v>
      </c>
      <c r="B279" t="s">
        <v>2</v>
      </c>
      <c r="C279">
        <v>24.3</v>
      </c>
      <c r="D279">
        <v>0</v>
      </c>
      <c r="E279" t="s">
        <v>4</v>
      </c>
      <c r="F279" t="s">
        <v>3</v>
      </c>
      <c r="G279" s="2">
        <v>2150.4690000000001</v>
      </c>
      <c r="H279" s="1" t="str">
        <f>IF(A279&lt;31,"18-30",IF(A279&lt;46,"31-45",IF(A279&lt;61,"46-60","60+")))</f>
        <v>18-30</v>
      </c>
      <c r="I279" t="str">
        <f>IF(C279&lt;18.5,"Underweight",IF(C279&lt;25,"Normal",IF(C279&lt;30,"Overweight","Obese")))</f>
        <v>Normal</v>
      </c>
      <c r="J279">
        <f>IF(E279="yes",1,0)</f>
        <v>0</v>
      </c>
      <c r="K279" t="str">
        <f>IF(G279&gt;15000,"High","Low")</f>
        <v>Low</v>
      </c>
    </row>
    <row r="280" spans="1:11" x14ac:dyDescent="0.35">
      <c r="A280">
        <v>59</v>
      </c>
      <c r="B280" t="s">
        <v>7</v>
      </c>
      <c r="C280">
        <v>31.79</v>
      </c>
      <c r="D280">
        <v>2</v>
      </c>
      <c r="E280" t="s">
        <v>4</v>
      </c>
      <c r="F280" t="s">
        <v>5</v>
      </c>
      <c r="G280" s="2">
        <v>12928.7911</v>
      </c>
      <c r="H280" s="1" t="str">
        <f>IF(A280&lt;31,"18-30",IF(A280&lt;46,"31-45",IF(A280&lt;61,"46-60","60+")))</f>
        <v>46-60</v>
      </c>
      <c r="I280" t="str">
        <f>IF(C280&lt;18.5,"Underweight",IF(C280&lt;25,"Normal",IF(C280&lt;30,"Overweight","Obese")))</f>
        <v>Obese</v>
      </c>
      <c r="J280">
        <f>IF(E280="yes",1,0)</f>
        <v>0</v>
      </c>
      <c r="K280" t="str">
        <f>IF(G280&gt;15000,"High","Low")</f>
        <v>Low</v>
      </c>
    </row>
    <row r="281" spans="1:11" x14ac:dyDescent="0.35">
      <c r="A281">
        <v>51</v>
      </c>
      <c r="B281" t="s">
        <v>2</v>
      </c>
      <c r="C281">
        <v>21.56</v>
      </c>
      <c r="D281">
        <v>1</v>
      </c>
      <c r="E281" t="s">
        <v>4</v>
      </c>
      <c r="F281" t="s">
        <v>5</v>
      </c>
      <c r="G281" s="2">
        <v>9855.1314000000002</v>
      </c>
      <c r="H281" s="1" t="str">
        <f>IF(A281&lt;31,"18-30",IF(A281&lt;46,"31-45",IF(A281&lt;61,"46-60","60+")))</f>
        <v>46-60</v>
      </c>
      <c r="I281" t="str">
        <f>IF(C281&lt;18.5,"Underweight",IF(C281&lt;25,"Normal",IF(C281&lt;30,"Overweight","Obese")))</f>
        <v>Normal</v>
      </c>
      <c r="J281">
        <f>IF(E281="yes",1,0)</f>
        <v>0</v>
      </c>
      <c r="K281" t="str">
        <f>IF(G281&gt;15000,"High","Low")</f>
        <v>Low</v>
      </c>
    </row>
    <row r="282" spans="1:11" x14ac:dyDescent="0.35">
      <c r="A282">
        <v>40</v>
      </c>
      <c r="B282" t="s">
        <v>2</v>
      </c>
      <c r="C282">
        <v>28.12</v>
      </c>
      <c r="D282">
        <v>1</v>
      </c>
      <c r="E282" t="s">
        <v>1</v>
      </c>
      <c r="F282" t="s">
        <v>6</v>
      </c>
      <c r="G282" s="2">
        <v>22331.566800000001</v>
      </c>
      <c r="H282" s="1" t="str">
        <f>IF(A282&lt;31,"18-30",IF(A282&lt;46,"31-45",IF(A282&lt;61,"46-60","60+")))</f>
        <v>31-45</v>
      </c>
      <c r="I282" t="str">
        <f>IF(C282&lt;18.5,"Underweight",IF(C282&lt;25,"Normal",IF(C282&lt;30,"Overweight","Obese")))</f>
        <v>Overweight</v>
      </c>
      <c r="J282">
        <f>IF(E282="yes",1,0)</f>
        <v>1</v>
      </c>
      <c r="K282" t="str">
        <f>IF(G282&gt;15000,"High","Low")</f>
        <v>High</v>
      </c>
    </row>
    <row r="283" spans="1:11" x14ac:dyDescent="0.35">
      <c r="A283">
        <v>54</v>
      </c>
      <c r="B283" t="s">
        <v>7</v>
      </c>
      <c r="C283">
        <v>40.564999999999998</v>
      </c>
      <c r="D283">
        <v>3</v>
      </c>
      <c r="E283" t="s">
        <v>1</v>
      </c>
      <c r="F283" t="s">
        <v>6</v>
      </c>
      <c r="G283" s="2">
        <v>48549.178350000002</v>
      </c>
      <c r="H283" s="1" t="str">
        <f>IF(A283&lt;31,"18-30",IF(A283&lt;46,"31-45",IF(A283&lt;61,"46-60","60+")))</f>
        <v>46-60</v>
      </c>
      <c r="I283" t="str">
        <f>IF(C283&lt;18.5,"Underweight",IF(C283&lt;25,"Normal",IF(C283&lt;30,"Overweight","Obese")))</f>
        <v>Obese</v>
      </c>
      <c r="J283">
        <f>IF(E283="yes",1,0)</f>
        <v>1</v>
      </c>
      <c r="K283" t="str">
        <f>IF(G283&gt;15000,"High","Low")</f>
        <v>High</v>
      </c>
    </row>
    <row r="284" spans="1:11" x14ac:dyDescent="0.35">
      <c r="A284">
        <v>30</v>
      </c>
      <c r="B284" t="s">
        <v>7</v>
      </c>
      <c r="C284">
        <v>27.645</v>
      </c>
      <c r="D284">
        <v>1</v>
      </c>
      <c r="E284" t="s">
        <v>4</v>
      </c>
      <c r="F284" t="s">
        <v>6</v>
      </c>
      <c r="G284" s="2">
        <v>4237.12655</v>
      </c>
      <c r="H284" s="1" t="str">
        <f>IF(A284&lt;31,"18-30",IF(A284&lt;46,"31-45",IF(A284&lt;61,"46-60","60+")))</f>
        <v>18-30</v>
      </c>
      <c r="I284" t="str">
        <f>IF(C284&lt;18.5,"Underweight",IF(C284&lt;25,"Normal",IF(C284&lt;30,"Overweight","Obese")))</f>
        <v>Overweight</v>
      </c>
      <c r="J284">
        <f>IF(E284="yes",1,0)</f>
        <v>0</v>
      </c>
      <c r="K284" t="str">
        <f>IF(G284&gt;15000,"High","Low")</f>
        <v>Low</v>
      </c>
    </row>
    <row r="285" spans="1:11" x14ac:dyDescent="0.35">
      <c r="A285">
        <v>55</v>
      </c>
      <c r="B285" t="s">
        <v>2</v>
      </c>
      <c r="C285">
        <v>32.395000000000003</v>
      </c>
      <c r="D285">
        <v>1</v>
      </c>
      <c r="E285" t="s">
        <v>4</v>
      </c>
      <c r="F285" t="s">
        <v>6</v>
      </c>
      <c r="G285" s="2">
        <v>11879.10405</v>
      </c>
      <c r="H285" s="1" t="str">
        <f>IF(A285&lt;31,"18-30",IF(A285&lt;46,"31-45",IF(A285&lt;61,"46-60","60+")))</f>
        <v>46-60</v>
      </c>
      <c r="I285" t="str">
        <f>IF(C285&lt;18.5,"Underweight",IF(C285&lt;25,"Normal",IF(C285&lt;30,"Overweight","Obese")))</f>
        <v>Obese</v>
      </c>
      <c r="J285">
        <f>IF(E285="yes",1,0)</f>
        <v>0</v>
      </c>
      <c r="K285" t="str">
        <f>IF(G285&gt;15000,"High","Low")</f>
        <v>Low</v>
      </c>
    </row>
    <row r="286" spans="1:11" x14ac:dyDescent="0.35">
      <c r="A286">
        <v>52</v>
      </c>
      <c r="B286" t="s">
        <v>2</v>
      </c>
      <c r="C286">
        <v>31.2</v>
      </c>
      <c r="D286">
        <v>0</v>
      </c>
      <c r="E286" t="s">
        <v>4</v>
      </c>
      <c r="F286" t="s">
        <v>3</v>
      </c>
      <c r="G286" s="2">
        <v>9625.92</v>
      </c>
      <c r="H286" s="1" t="str">
        <f>IF(A286&lt;31,"18-30",IF(A286&lt;46,"31-45",IF(A286&lt;61,"46-60","60+")))</f>
        <v>46-60</v>
      </c>
      <c r="I286" t="str">
        <f>IF(C286&lt;18.5,"Underweight",IF(C286&lt;25,"Normal",IF(C286&lt;30,"Overweight","Obese")))</f>
        <v>Obese</v>
      </c>
      <c r="J286">
        <f>IF(E286="yes",1,0)</f>
        <v>0</v>
      </c>
      <c r="K286" t="str">
        <f>IF(G286&gt;15000,"High","Low")</f>
        <v>Low</v>
      </c>
    </row>
    <row r="287" spans="1:11" x14ac:dyDescent="0.35">
      <c r="A287">
        <v>46</v>
      </c>
      <c r="B287" t="s">
        <v>7</v>
      </c>
      <c r="C287">
        <v>26.62</v>
      </c>
      <c r="D287">
        <v>1</v>
      </c>
      <c r="E287" t="s">
        <v>4</v>
      </c>
      <c r="F287" t="s">
        <v>5</v>
      </c>
      <c r="G287" s="2">
        <v>7742.1098000000002</v>
      </c>
      <c r="H287" s="1" t="str">
        <f>IF(A287&lt;31,"18-30",IF(A287&lt;46,"31-45",IF(A287&lt;61,"46-60","60+")))</f>
        <v>46-60</v>
      </c>
      <c r="I287" t="str">
        <f>IF(C287&lt;18.5,"Underweight",IF(C287&lt;25,"Normal",IF(C287&lt;30,"Overweight","Obese")))</f>
        <v>Overweight</v>
      </c>
      <c r="J287">
        <f>IF(E287="yes",1,0)</f>
        <v>0</v>
      </c>
      <c r="K287" t="str">
        <f>IF(G287&gt;15000,"High","Low")</f>
        <v>Low</v>
      </c>
    </row>
    <row r="288" spans="1:11" x14ac:dyDescent="0.35">
      <c r="A288">
        <v>46</v>
      </c>
      <c r="B288" t="s">
        <v>2</v>
      </c>
      <c r="C288">
        <v>48.07</v>
      </c>
      <c r="D288">
        <v>2</v>
      </c>
      <c r="E288" t="s">
        <v>4</v>
      </c>
      <c r="F288" t="s">
        <v>6</v>
      </c>
      <c r="G288" s="2">
        <v>9432.9253000000008</v>
      </c>
      <c r="H288" s="1" t="str">
        <f>IF(A288&lt;31,"18-30",IF(A288&lt;46,"31-45",IF(A288&lt;61,"46-60","60+")))</f>
        <v>46-60</v>
      </c>
      <c r="I288" t="str">
        <f>IF(C288&lt;18.5,"Underweight",IF(C288&lt;25,"Normal",IF(C288&lt;30,"Overweight","Obese")))</f>
        <v>Obese</v>
      </c>
      <c r="J288">
        <f>IF(E288="yes",1,0)</f>
        <v>0</v>
      </c>
      <c r="K288" t="str">
        <f>IF(G288&gt;15000,"High","Low")</f>
        <v>Low</v>
      </c>
    </row>
    <row r="289" spans="1:11" x14ac:dyDescent="0.35">
      <c r="A289">
        <v>63</v>
      </c>
      <c r="B289" t="s">
        <v>2</v>
      </c>
      <c r="C289">
        <v>26.22</v>
      </c>
      <c r="D289">
        <v>0</v>
      </c>
      <c r="E289" t="s">
        <v>4</v>
      </c>
      <c r="F289" t="s">
        <v>0</v>
      </c>
      <c r="G289" s="2">
        <v>14256.192800000001</v>
      </c>
      <c r="H289" s="1" t="str">
        <f>IF(A289&lt;31,"18-30",IF(A289&lt;46,"31-45",IF(A289&lt;61,"46-60","60+")))</f>
        <v>60+</v>
      </c>
      <c r="I289" t="str">
        <f>IF(C289&lt;18.5,"Underweight",IF(C289&lt;25,"Normal",IF(C289&lt;30,"Overweight","Obese")))</f>
        <v>Overweight</v>
      </c>
      <c r="J289">
        <f>IF(E289="yes",1,0)</f>
        <v>0</v>
      </c>
      <c r="K289" t="str">
        <f>IF(G289&gt;15000,"High","Low")</f>
        <v>Low</v>
      </c>
    </row>
    <row r="290" spans="1:11" x14ac:dyDescent="0.35">
      <c r="A290">
        <v>59</v>
      </c>
      <c r="B290" t="s">
        <v>2</v>
      </c>
      <c r="C290">
        <v>36.765000000000001</v>
      </c>
      <c r="D290">
        <v>1</v>
      </c>
      <c r="E290" t="s">
        <v>1</v>
      </c>
      <c r="F290" t="s">
        <v>6</v>
      </c>
      <c r="G290" s="2">
        <v>47896.79135</v>
      </c>
      <c r="H290" s="1" t="str">
        <f>IF(A290&lt;31,"18-30",IF(A290&lt;46,"31-45",IF(A290&lt;61,"46-60","60+")))</f>
        <v>46-60</v>
      </c>
      <c r="I290" t="str">
        <f>IF(C290&lt;18.5,"Underweight",IF(C290&lt;25,"Normal",IF(C290&lt;30,"Overweight","Obese")))</f>
        <v>Obese</v>
      </c>
      <c r="J290">
        <f>IF(E290="yes",1,0)</f>
        <v>1</v>
      </c>
      <c r="K290" t="str">
        <f>IF(G290&gt;15000,"High","Low")</f>
        <v>High</v>
      </c>
    </row>
    <row r="291" spans="1:11" x14ac:dyDescent="0.35">
      <c r="A291">
        <v>52</v>
      </c>
      <c r="B291" t="s">
        <v>7</v>
      </c>
      <c r="C291">
        <v>26.4</v>
      </c>
      <c r="D291">
        <v>3</v>
      </c>
      <c r="E291" t="s">
        <v>4</v>
      </c>
      <c r="F291" t="s">
        <v>5</v>
      </c>
      <c r="G291" s="2">
        <v>25992.821039999999</v>
      </c>
      <c r="H291" s="1" t="str">
        <f>IF(A291&lt;31,"18-30",IF(A291&lt;46,"31-45",IF(A291&lt;61,"46-60","60+")))</f>
        <v>46-60</v>
      </c>
      <c r="I291" t="str">
        <f>IF(C291&lt;18.5,"Underweight",IF(C291&lt;25,"Normal",IF(C291&lt;30,"Overweight","Obese")))</f>
        <v>Overweight</v>
      </c>
      <c r="J291">
        <f>IF(E291="yes",1,0)</f>
        <v>0</v>
      </c>
      <c r="K291" t="str">
        <f>IF(G291&gt;15000,"High","Low")</f>
        <v>High</v>
      </c>
    </row>
    <row r="292" spans="1:11" x14ac:dyDescent="0.35">
      <c r="A292">
        <v>28</v>
      </c>
      <c r="B292" t="s">
        <v>2</v>
      </c>
      <c r="C292">
        <v>33.4</v>
      </c>
      <c r="D292">
        <v>0</v>
      </c>
      <c r="E292" t="s">
        <v>4</v>
      </c>
      <c r="F292" t="s">
        <v>3</v>
      </c>
      <c r="G292" s="2">
        <v>3172.018</v>
      </c>
      <c r="H292" s="1" t="str">
        <f>IF(A292&lt;31,"18-30",IF(A292&lt;46,"31-45",IF(A292&lt;61,"46-60","60+")))</f>
        <v>18-30</v>
      </c>
      <c r="I292" t="str">
        <f>IF(C292&lt;18.5,"Underweight",IF(C292&lt;25,"Normal",IF(C292&lt;30,"Overweight","Obese")))</f>
        <v>Obese</v>
      </c>
      <c r="J292">
        <f>IF(E292="yes",1,0)</f>
        <v>0</v>
      </c>
      <c r="K292" t="str">
        <f>IF(G292&gt;15000,"High","Low")</f>
        <v>Low</v>
      </c>
    </row>
    <row r="293" spans="1:11" x14ac:dyDescent="0.35">
      <c r="A293">
        <v>29</v>
      </c>
      <c r="B293" t="s">
        <v>7</v>
      </c>
      <c r="C293">
        <v>29.64</v>
      </c>
      <c r="D293">
        <v>1</v>
      </c>
      <c r="E293" t="s">
        <v>4</v>
      </c>
      <c r="F293" t="s">
        <v>6</v>
      </c>
      <c r="G293" s="2">
        <v>20277.807509999999</v>
      </c>
      <c r="H293" s="1" t="str">
        <f>IF(A293&lt;31,"18-30",IF(A293&lt;46,"31-45",IF(A293&lt;61,"46-60","60+")))</f>
        <v>18-30</v>
      </c>
      <c r="I293" t="str">
        <f>IF(C293&lt;18.5,"Underweight",IF(C293&lt;25,"Normal",IF(C293&lt;30,"Overweight","Obese")))</f>
        <v>Overweight</v>
      </c>
      <c r="J293">
        <f>IF(E293="yes",1,0)</f>
        <v>0</v>
      </c>
      <c r="K293" t="str">
        <f>IF(G293&gt;15000,"High","Low")</f>
        <v>High</v>
      </c>
    </row>
    <row r="294" spans="1:11" x14ac:dyDescent="0.35">
      <c r="A294">
        <v>25</v>
      </c>
      <c r="B294" t="s">
        <v>7</v>
      </c>
      <c r="C294">
        <v>45.54</v>
      </c>
      <c r="D294">
        <v>2</v>
      </c>
      <c r="E294" t="s">
        <v>1</v>
      </c>
      <c r="F294" t="s">
        <v>5</v>
      </c>
      <c r="G294" s="2">
        <v>42112.2356</v>
      </c>
      <c r="H294" s="1" t="str">
        <f>IF(A294&lt;31,"18-30",IF(A294&lt;46,"31-45",IF(A294&lt;61,"46-60","60+")))</f>
        <v>18-30</v>
      </c>
      <c r="I294" t="str">
        <f>IF(C294&lt;18.5,"Underweight",IF(C294&lt;25,"Normal",IF(C294&lt;30,"Overweight","Obese")))</f>
        <v>Obese</v>
      </c>
      <c r="J294">
        <f>IF(E294="yes",1,0)</f>
        <v>1</v>
      </c>
      <c r="K294" t="str">
        <f>IF(G294&gt;15000,"High","Low")</f>
        <v>High</v>
      </c>
    </row>
    <row r="295" spans="1:11" x14ac:dyDescent="0.35">
      <c r="A295">
        <v>22</v>
      </c>
      <c r="B295" t="s">
        <v>2</v>
      </c>
      <c r="C295">
        <v>28.82</v>
      </c>
      <c r="D295">
        <v>0</v>
      </c>
      <c r="E295" t="s">
        <v>4</v>
      </c>
      <c r="F295" t="s">
        <v>5</v>
      </c>
      <c r="G295" s="2">
        <v>2156.7518</v>
      </c>
      <c r="H295" s="1" t="str">
        <f>IF(A295&lt;31,"18-30",IF(A295&lt;46,"31-45",IF(A295&lt;61,"46-60","60+")))</f>
        <v>18-30</v>
      </c>
      <c r="I295" t="str">
        <f>IF(C295&lt;18.5,"Underweight",IF(C295&lt;25,"Normal",IF(C295&lt;30,"Overweight","Obese")))</f>
        <v>Overweight</v>
      </c>
      <c r="J295">
        <f>IF(E295="yes",1,0)</f>
        <v>0</v>
      </c>
      <c r="K295" t="str">
        <f>IF(G295&gt;15000,"High","Low")</f>
        <v>Low</v>
      </c>
    </row>
    <row r="296" spans="1:11" x14ac:dyDescent="0.35">
      <c r="A296">
        <v>25</v>
      </c>
      <c r="B296" t="s">
        <v>7</v>
      </c>
      <c r="C296">
        <v>26.8</v>
      </c>
      <c r="D296">
        <v>3</v>
      </c>
      <c r="E296" t="s">
        <v>4</v>
      </c>
      <c r="F296" t="s">
        <v>3</v>
      </c>
      <c r="G296" s="2">
        <v>3906.127</v>
      </c>
      <c r="H296" s="1" t="str">
        <f>IF(A296&lt;31,"18-30",IF(A296&lt;46,"31-45",IF(A296&lt;61,"46-60","60+")))</f>
        <v>18-30</v>
      </c>
      <c r="I296" t="str">
        <f>IF(C296&lt;18.5,"Underweight",IF(C296&lt;25,"Normal",IF(C296&lt;30,"Overweight","Obese")))</f>
        <v>Overweight</v>
      </c>
      <c r="J296">
        <f>IF(E296="yes",1,0)</f>
        <v>0</v>
      </c>
      <c r="K296" t="str">
        <f>IF(G296&gt;15000,"High","Low")</f>
        <v>Low</v>
      </c>
    </row>
    <row r="297" spans="1:11" x14ac:dyDescent="0.35">
      <c r="A297">
        <v>18</v>
      </c>
      <c r="B297" t="s">
        <v>7</v>
      </c>
      <c r="C297">
        <v>22.99</v>
      </c>
      <c r="D297">
        <v>0</v>
      </c>
      <c r="E297" t="s">
        <v>4</v>
      </c>
      <c r="F297" t="s">
        <v>6</v>
      </c>
      <c r="G297" s="2">
        <v>1704.5681</v>
      </c>
      <c r="H297" s="1" t="str">
        <f>IF(A297&lt;31,"18-30",IF(A297&lt;46,"31-45",IF(A297&lt;61,"46-60","60+")))</f>
        <v>18-30</v>
      </c>
      <c r="I297" t="str">
        <f>IF(C297&lt;18.5,"Underweight",IF(C297&lt;25,"Normal",IF(C297&lt;30,"Overweight","Obese")))</f>
        <v>Normal</v>
      </c>
      <c r="J297">
        <f>IF(E297="yes",1,0)</f>
        <v>0</v>
      </c>
      <c r="K297" t="str">
        <f>IF(G297&gt;15000,"High","Low")</f>
        <v>Low</v>
      </c>
    </row>
    <row r="298" spans="1:11" x14ac:dyDescent="0.35">
      <c r="A298">
        <v>19</v>
      </c>
      <c r="B298" t="s">
        <v>7</v>
      </c>
      <c r="C298">
        <v>27.7</v>
      </c>
      <c r="D298">
        <v>0</v>
      </c>
      <c r="E298" t="s">
        <v>1</v>
      </c>
      <c r="F298" t="s">
        <v>3</v>
      </c>
      <c r="G298" s="2">
        <v>16297.846</v>
      </c>
      <c r="H298" s="1" t="str">
        <f>IF(A298&lt;31,"18-30",IF(A298&lt;46,"31-45",IF(A298&lt;61,"46-60","60+")))</f>
        <v>18-30</v>
      </c>
      <c r="I298" t="str">
        <f>IF(C298&lt;18.5,"Underweight",IF(C298&lt;25,"Normal",IF(C298&lt;30,"Overweight","Obese")))</f>
        <v>Overweight</v>
      </c>
      <c r="J298">
        <f>IF(E298="yes",1,0)</f>
        <v>1</v>
      </c>
      <c r="K298" t="str">
        <f>IF(G298&gt;15000,"High","Low")</f>
        <v>High</v>
      </c>
    </row>
    <row r="299" spans="1:11" x14ac:dyDescent="0.35">
      <c r="A299">
        <v>47</v>
      </c>
      <c r="B299" t="s">
        <v>7</v>
      </c>
      <c r="C299">
        <v>25.41</v>
      </c>
      <c r="D299">
        <v>1</v>
      </c>
      <c r="E299" t="s">
        <v>1</v>
      </c>
      <c r="F299" t="s">
        <v>5</v>
      </c>
      <c r="G299" s="2">
        <v>21978.676899999999</v>
      </c>
      <c r="H299" s="1" t="str">
        <f>IF(A299&lt;31,"18-30",IF(A299&lt;46,"31-45",IF(A299&lt;61,"46-60","60+")))</f>
        <v>46-60</v>
      </c>
      <c r="I299" t="str">
        <f>IF(C299&lt;18.5,"Underweight",IF(C299&lt;25,"Normal",IF(C299&lt;30,"Overweight","Obese")))</f>
        <v>Overweight</v>
      </c>
      <c r="J299">
        <f>IF(E299="yes",1,0)</f>
        <v>1</v>
      </c>
      <c r="K299" t="str">
        <f>IF(G299&gt;15000,"High","Low")</f>
        <v>High</v>
      </c>
    </row>
    <row r="300" spans="1:11" x14ac:dyDescent="0.35">
      <c r="A300">
        <v>31</v>
      </c>
      <c r="B300" t="s">
        <v>7</v>
      </c>
      <c r="C300">
        <v>34.39</v>
      </c>
      <c r="D300">
        <v>3</v>
      </c>
      <c r="E300" t="s">
        <v>1</v>
      </c>
      <c r="F300" t="s">
        <v>0</v>
      </c>
      <c r="G300" s="2">
        <v>38746.355100000001</v>
      </c>
      <c r="H300" s="1" t="str">
        <f>IF(A300&lt;31,"18-30",IF(A300&lt;46,"31-45",IF(A300&lt;61,"46-60","60+")))</f>
        <v>31-45</v>
      </c>
      <c r="I300" t="str">
        <f>IF(C300&lt;18.5,"Underweight",IF(C300&lt;25,"Normal",IF(C300&lt;30,"Overweight","Obese")))</f>
        <v>Obese</v>
      </c>
      <c r="J300">
        <f>IF(E300="yes",1,0)</f>
        <v>1</v>
      </c>
      <c r="K300" t="str">
        <f>IF(G300&gt;15000,"High","Low")</f>
        <v>High</v>
      </c>
    </row>
    <row r="301" spans="1:11" x14ac:dyDescent="0.35">
      <c r="A301">
        <v>48</v>
      </c>
      <c r="B301" t="s">
        <v>2</v>
      </c>
      <c r="C301">
        <v>28.88</v>
      </c>
      <c r="D301">
        <v>1</v>
      </c>
      <c r="E301" t="s">
        <v>4</v>
      </c>
      <c r="F301" t="s">
        <v>0</v>
      </c>
      <c r="G301" s="2">
        <v>9249.4951999999994</v>
      </c>
      <c r="H301" s="1" t="str">
        <f>IF(A301&lt;31,"18-30",IF(A301&lt;46,"31-45",IF(A301&lt;61,"46-60","60+")))</f>
        <v>46-60</v>
      </c>
      <c r="I301" t="str">
        <f>IF(C301&lt;18.5,"Underweight",IF(C301&lt;25,"Normal",IF(C301&lt;30,"Overweight","Obese")))</f>
        <v>Overweight</v>
      </c>
      <c r="J301">
        <f>IF(E301="yes",1,0)</f>
        <v>0</v>
      </c>
      <c r="K301" t="str">
        <f>IF(G301&gt;15000,"High","Low")</f>
        <v>Low</v>
      </c>
    </row>
    <row r="302" spans="1:11" x14ac:dyDescent="0.35">
      <c r="A302">
        <v>36</v>
      </c>
      <c r="B302" t="s">
        <v>7</v>
      </c>
      <c r="C302">
        <v>27.55</v>
      </c>
      <c r="D302">
        <v>3</v>
      </c>
      <c r="E302" t="s">
        <v>4</v>
      </c>
      <c r="F302" t="s">
        <v>6</v>
      </c>
      <c r="G302" s="2">
        <v>6746.7425000000003</v>
      </c>
      <c r="H302" s="1" t="str">
        <f>IF(A302&lt;31,"18-30",IF(A302&lt;46,"31-45",IF(A302&lt;61,"46-60","60+")))</f>
        <v>31-45</v>
      </c>
      <c r="I302" t="str">
        <f>IF(C302&lt;18.5,"Underweight",IF(C302&lt;25,"Normal",IF(C302&lt;30,"Overweight","Obese")))</f>
        <v>Overweight</v>
      </c>
      <c r="J302">
        <f>IF(E302="yes",1,0)</f>
        <v>0</v>
      </c>
      <c r="K302" t="str">
        <f>IF(G302&gt;15000,"High","Low")</f>
        <v>Low</v>
      </c>
    </row>
    <row r="303" spans="1:11" x14ac:dyDescent="0.35">
      <c r="A303">
        <v>53</v>
      </c>
      <c r="B303" t="s">
        <v>2</v>
      </c>
      <c r="C303">
        <v>22.61</v>
      </c>
      <c r="D303">
        <v>3</v>
      </c>
      <c r="E303" t="s">
        <v>1</v>
      </c>
      <c r="F303" t="s">
        <v>6</v>
      </c>
      <c r="G303" s="2">
        <v>24873.384900000001</v>
      </c>
      <c r="H303" s="1" t="str">
        <f>IF(A303&lt;31,"18-30",IF(A303&lt;46,"31-45",IF(A303&lt;61,"46-60","60+")))</f>
        <v>46-60</v>
      </c>
      <c r="I303" t="str">
        <f>IF(C303&lt;18.5,"Underweight",IF(C303&lt;25,"Normal",IF(C303&lt;30,"Overweight","Obese")))</f>
        <v>Normal</v>
      </c>
      <c r="J303">
        <f>IF(E303="yes",1,0)</f>
        <v>1</v>
      </c>
      <c r="K303" t="str">
        <f>IF(G303&gt;15000,"High","Low")</f>
        <v>High</v>
      </c>
    </row>
    <row r="304" spans="1:11" x14ac:dyDescent="0.35">
      <c r="A304">
        <v>56</v>
      </c>
      <c r="B304" t="s">
        <v>2</v>
      </c>
      <c r="C304">
        <v>37.51</v>
      </c>
      <c r="D304">
        <v>2</v>
      </c>
      <c r="E304" t="s">
        <v>4</v>
      </c>
      <c r="F304" t="s">
        <v>5</v>
      </c>
      <c r="G304" s="2">
        <v>12265.5069</v>
      </c>
      <c r="H304" s="1" t="str">
        <f>IF(A304&lt;31,"18-30",IF(A304&lt;46,"31-45",IF(A304&lt;61,"46-60","60+")))</f>
        <v>46-60</v>
      </c>
      <c r="I304" t="str">
        <f>IF(C304&lt;18.5,"Underweight",IF(C304&lt;25,"Normal",IF(C304&lt;30,"Overweight","Obese")))</f>
        <v>Obese</v>
      </c>
      <c r="J304">
        <f>IF(E304="yes",1,0)</f>
        <v>0</v>
      </c>
      <c r="K304" t="str">
        <f>IF(G304&gt;15000,"High","Low")</f>
        <v>Low</v>
      </c>
    </row>
    <row r="305" spans="1:11" x14ac:dyDescent="0.35">
      <c r="A305">
        <v>28</v>
      </c>
      <c r="B305" t="s">
        <v>2</v>
      </c>
      <c r="C305">
        <v>33</v>
      </c>
      <c r="D305">
        <v>2</v>
      </c>
      <c r="E305" t="s">
        <v>4</v>
      </c>
      <c r="F305" t="s">
        <v>5</v>
      </c>
      <c r="G305" s="2">
        <v>4349.4620000000004</v>
      </c>
      <c r="H305" s="1" t="str">
        <f>IF(A305&lt;31,"18-30",IF(A305&lt;46,"31-45",IF(A305&lt;61,"46-60","60+")))</f>
        <v>18-30</v>
      </c>
      <c r="I305" t="str">
        <f>IF(C305&lt;18.5,"Underweight",IF(C305&lt;25,"Normal",IF(C305&lt;30,"Overweight","Obese")))</f>
        <v>Obese</v>
      </c>
      <c r="J305">
        <f>IF(E305="yes",1,0)</f>
        <v>0</v>
      </c>
      <c r="K305" t="str">
        <f>IF(G305&gt;15000,"High","Low")</f>
        <v>Low</v>
      </c>
    </row>
    <row r="306" spans="1:11" x14ac:dyDescent="0.35">
      <c r="A306">
        <v>57</v>
      </c>
      <c r="B306" t="s">
        <v>2</v>
      </c>
      <c r="C306">
        <v>38</v>
      </c>
      <c r="D306">
        <v>2</v>
      </c>
      <c r="E306" t="s">
        <v>4</v>
      </c>
      <c r="F306" t="s">
        <v>3</v>
      </c>
      <c r="G306" s="2">
        <v>12646.207</v>
      </c>
      <c r="H306" s="1" t="str">
        <f>IF(A306&lt;31,"18-30",IF(A306&lt;46,"31-45",IF(A306&lt;61,"46-60","60+")))</f>
        <v>46-60</v>
      </c>
      <c r="I306" t="str">
        <f>IF(C306&lt;18.5,"Underweight",IF(C306&lt;25,"Normal",IF(C306&lt;30,"Overweight","Obese")))</f>
        <v>Obese</v>
      </c>
      <c r="J306">
        <f>IF(E306="yes",1,0)</f>
        <v>0</v>
      </c>
      <c r="K306" t="str">
        <f>IF(G306&gt;15000,"High","Low")</f>
        <v>Low</v>
      </c>
    </row>
    <row r="307" spans="1:11" x14ac:dyDescent="0.35">
      <c r="A307">
        <v>29</v>
      </c>
      <c r="B307" t="s">
        <v>7</v>
      </c>
      <c r="C307">
        <v>33.344999999999999</v>
      </c>
      <c r="D307">
        <v>2</v>
      </c>
      <c r="E307" t="s">
        <v>4</v>
      </c>
      <c r="F307" t="s">
        <v>0</v>
      </c>
      <c r="G307" s="2">
        <v>19442.353500000001</v>
      </c>
      <c r="H307" s="1" t="str">
        <f>IF(A307&lt;31,"18-30",IF(A307&lt;46,"31-45",IF(A307&lt;61,"46-60","60+")))</f>
        <v>18-30</v>
      </c>
      <c r="I307" t="str">
        <f>IF(C307&lt;18.5,"Underweight",IF(C307&lt;25,"Normal",IF(C307&lt;30,"Overweight","Obese")))</f>
        <v>Obese</v>
      </c>
      <c r="J307">
        <f>IF(E307="yes",1,0)</f>
        <v>0</v>
      </c>
      <c r="K307" t="str">
        <f>IF(G307&gt;15000,"High","Low")</f>
        <v>High</v>
      </c>
    </row>
    <row r="308" spans="1:11" x14ac:dyDescent="0.35">
      <c r="A308">
        <v>28</v>
      </c>
      <c r="B308" t="s">
        <v>2</v>
      </c>
      <c r="C308">
        <v>27.5</v>
      </c>
      <c r="D308">
        <v>2</v>
      </c>
      <c r="E308" t="s">
        <v>4</v>
      </c>
      <c r="F308" t="s">
        <v>3</v>
      </c>
      <c r="G308" s="2">
        <v>20177.671129999999</v>
      </c>
      <c r="H308" s="1" t="str">
        <f>IF(A308&lt;31,"18-30",IF(A308&lt;46,"31-45",IF(A308&lt;61,"46-60","60+")))</f>
        <v>18-30</v>
      </c>
      <c r="I308" t="str">
        <f>IF(C308&lt;18.5,"Underweight",IF(C308&lt;25,"Normal",IF(C308&lt;30,"Overweight","Obese")))</f>
        <v>Overweight</v>
      </c>
      <c r="J308">
        <f>IF(E308="yes",1,0)</f>
        <v>0</v>
      </c>
      <c r="K308" t="str">
        <f>IF(G308&gt;15000,"High","Low")</f>
        <v>High</v>
      </c>
    </row>
    <row r="309" spans="1:11" x14ac:dyDescent="0.35">
      <c r="A309">
        <v>30</v>
      </c>
      <c r="B309" t="s">
        <v>2</v>
      </c>
      <c r="C309">
        <v>33.33</v>
      </c>
      <c r="D309">
        <v>1</v>
      </c>
      <c r="E309" t="s">
        <v>4</v>
      </c>
      <c r="F309" t="s">
        <v>5</v>
      </c>
      <c r="G309" s="2">
        <v>4151.0286999999998</v>
      </c>
      <c r="H309" s="1" t="str">
        <f>IF(A309&lt;31,"18-30",IF(A309&lt;46,"31-45",IF(A309&lt;61,"46-60","60+")))</f>
        <v>18-30</v>
      </c>
      <c r="I309" t="str">
        <f>IF(C309&lt;18.5,"Underweight",IF(C309&lt;25,"Normal",IF(C309&lt;30,"Overweight","Obese")))</f>
        <v>Obese</v>
      </c>
      <c r="J309">
        <f>IF(E309="yes",1,0)</f>
        <v>0</v>
      </c>
      <c r="K309" t="str">
        <f>IF(G309&gt;15000,"High","Low")</f>
        <v>Low</v>
      </c>
    </row>
    <row r="310" spans="1:11" x14ac:dyDescent="0.35">
      <c r="A310">
        <v>58</v>
      </c>
      <c r="B310" t="s">
        <v>7</v>
      </c>
      <c r="C310">
        <v>34.865000000000002</v>
      </c>
      <c r="D310">
        <v>0</v>
      </c>
      <c r="E310" t="s">
        <v>4</v>
      </c>
      <c r="F310" t="s">
        <v>6</v>
      </c>
      <c r="G310" s="2">
        <v>11944.594349999999</v>
      </c>
      <c r="H310" s="1" t="str">
        <f>IF(A310&lt;31,"18-30",IF(A310&lt;46,"31-45",IF(A310&lt;61,"46-60","60+")))</f>
        <v>46-60</v>
      </c>
      <c r="I310" t="str">
        <f>IF(C310&lt;18.5,"Underweight",IF(C310&lt;25,"Normal",IF(C310&lt;30,"Overweight","Obese")))</f>
        <v>Obese</v>
      </c>
      <c r="J310">
        <f>IF(E310="yes",1,0)</f>
        <v>0</v>
      </c>
      <c r="K310" t="str">
        <f>IF(G310&gt;15000,"High","Low")</f>
        <v>Low</v>
      </c>
    </row>
    <row r="311" spans="1:11" x14ac:dyDescent="0.35">
      <c r="A311">
        <v>41</v>
      </c>
      <c r="B311" t="s">
        <v>2</v>
      </c>
      <c r="C311">
        <v>33.06</v>
      </c>
      <c r="D311">
        <v>2</v>
      </c>
      <c r="E311" t="s">
        <v>4</v>
      </c>
      <c r="F311" t="s">
        <v>0</v>
      </c>
      <c r="G311" s="2">
        <v>7749.1563999999998</v>
      </c>
      <c r="H311" s="1" t="str">
        <f>IF(A311&lt;31,"18-30",IF(A311&lt;46,"31-45",IF(A311&lt;61,"46-60","60+")))</f>
        <v>31-45</v>
      </c>
      <c r="I311" t="str">
        <f>IF(C311&lt;18.5,"Underweight",IF(C311&lt;25,"Normal",IF(C311&lt;30,"Overweight","Obese")))</f>
        <v>Obese</v>
      </c>
      <c r="J311">
        <f>IF(E311="yes",1,0)</f>
        <v>0</v>
      </c>
      <c r="K311" t="str">
        <f>IF(G311&gt;15000,"High","Low")</f>
        <v>Low</v>
      </c>
    </row>
    <row r="312" spans="1:11" x14ac:dyDescent="0.35">
      <c r="A312">
        <v>50</v>
      </c>
      <c r="B312" t="s">
        <v>7</v>
      </c>
      <c r="C312">
        <v>26.6</v>
      </c>
      <c r="D312">
        <v>0</v>
      </c>
      <c r="E312" t="s">
        <v>4</v>
      </c>
      <c r="F312" t="s">
        <v>3</v>
      </c>
      <c r="G312" s="2">
        <v>8444.4740000000002</v>
      </c>
      <c r="H312" s="1" t="str">
        <f>IF(A312&lt;31,"18-30",IF(A312&lt;46,"31-45",IF(A312&lt;61,"46-60","60+")))</f>
        <v>46-60</v>
      </c>
      <c r="I312" t="str">
        <f>IF(C312&lt;18.5,"Underweight",IF(C312&lt;25,"Normal",IF(C312&lt;30,"Overweight","Obese")))</f>
        <v>Overweight</v>
      </c>
      <c r="J312">
        <f>IF(E312="yes",1,0)</f>
        <v>0</v>
      </c>
      <c r="K312" t="str">
        <f>IF(G312&gt;15000,"High","Low")</f>
        <v>Low</v>
      </c>
    </row>
    <row r="313" spans="1:11" x14ac:dyDescent="0.35">
      <c r="A313">
        <v>19</v>
      </c>
      <c r="B313" t="s">
        <v>2</v>
      </c>
      <c r="C313">
        <v>24.7</v>
      </c>
      <c r="D313">
        <v>0</v>
      </c>
      <c r="E313" t="s">
        <v>4</v>
      </c>
      <c r="F313" t="s">
        <v>3</v>
      </c>
      <c r="G313" s="2">
        <v>1737.376</v>
      </c>
      <c r="H313" s="1" t="str">
        <f>IF(A313&lt;31,"18-30",IF(A313&lt;46,"31-45",IF(A313&lt;61,"46-60","60+")))</f>
        <v>18-30</v>
      </c>
      <c r="I313" t="str">
        <f>IF(C313&lt;18.5,"Underweight",IF(C313&lt;25,"Normal",IF(C313&lt;30,"Overweight","Obese")))</f>
        <v>Normal</v>
      </c>
      <c r="J313">
        <f>IF(E313="yes",1,0)</f>
        <v>0</v>
      </c>
      <c r="K313" t="str">
        <f>IF(G313&gt;15000,"High","Low")</f>
        <v>Low</v>
      </c>
    </row>
    <row r="314" spans="1:11" x14ac:dyDescent="0.35">
      <c r="A314">
        <v>43</v>
      </c>
      <c r="B314" t="s">
        <v>7</v>
      </c>
      <c r="C314">
        <v>35.97</v>
      </c>
      <c r="D314">
        <v>3</v>
      </c>
      <c r="E314" t="s">
        <v>1</v>
      </c>
      <c r="F314" t="s">
        <v>5</v>
      </c>
      <c r="G314" s="2">
        <v>42124.515299999999</v>
      </c>
      <c r="H314" s="1" t="str">
        <f>IF(A314&lt;31,"18-30",IF(A314&lt;46,"31-45",IF(A314&lt;61,"46-60","60+")))</f>
        <v>31-45</v>
      </c>
      <c r="I314" t="str">
        <f>IF(C314&lt;18.5,"Underweight",IF(C314&lt;25,"Normal",IF(C314&lt;30,"Overweight","Obese")))</f>
        <v>Obese</v>
      </c>
      <c r="J314">
        <f>IF(E314="yes",1,0)</f>
        <v>1</v>
      </c>
      <c r="K314" t="str">
        <f>IF(G314&gt;15000,"High","Low")</f>
        <v>High</v>
      </c>
    </row>
    <row r="315" spans="1:11" x14ac:dyDescent="0.35">
      <c r="A315">
        <v>49</v>
      </c>
      <c r="B315" t="s">
        <v>7</v>
      </c>
      <c r="C315">
        <v>35.86</v>
      </c>
      <c r="D315">
        <v>0</v>
      </c>
      <c r="E315" t="s">
        <v>4</v>
      </c>
      <c r="F315" t="s">
        <v>5</v>
      </c>
      <c r="G315" s="2">
        <v>8124.4084000000003</v>
      </c>
      <c r="H315" s="1" t="str">
        <f>IF(A315&lt;31,"18-30",IF(A315&lt;46,"31-45",IF(A315&lt;61,"46-60","60+")))</f>
        <v>46-60</v>
      </c>
      <c r="I315" t="str">
        <f>IF(C315&lt;18.5,"Underweight",IF(C315&lt;25,"Normal",IF(C315&lt;30,"Overweight","Obese")))</f>
        <v>Obese</v>
      </c>
      <c r="J315">
        <f>IF(E315="yes",1,0)</f>
        <v>0</v>
      </c>
      <c r="K315" t="str">
        <f>IF(G315&gt;15000,"High","Low")</f>
        <v>Low</v>
      </c>
    </row>
    <row r="316" spans="1:11" x14ac:dyDescent="0.35">
      <c r="A316">
        <v>27</v>
      </c>
      <c r="B316" t="s">
        <v>2</v>
      </c>
      <c r="C316">
        <v>31.4</v>
      </c>
      <c r="D316">
        <v>0</v>
      </c>
      <c r="E316" t="s">
        <v>1</v>
      </c>
      <c r="F316" t="s">
        <v>3</v>
      </c>
      <c r="G316" s="2">
        <v>34838.873</v>
      </c>
      <c r="H316" s="1" t="str">
        <f>IF(A316&lt;31,"18-30",IF(A316&lt;46,"31-45",IF(A316&lt;61,"46-60","60+")))</f>
        <v>18-30</v>
      </c>
      <c r="I316" t="str">
        <f>IF(C316&lt;18.5,"Underweight",IF(C316&lt;25,"Normal",IF(C316&lt;30,"Overweight","Obese")))</f>
        <v>Obese</v>
      </c>
      <c r="J316">
        <f>IF(E316="yes",1,0)</f>
        <v>1</v>
      </c>
      <c r="K316" t="str">
        <f>IF(G316&gt;15000,"High","Low")</f>
        <v>High</v>
      </c>
    </row>
    <row r="317" spans="1:11" x14ac:dyDescent="0.35">
      <c r="A317">
        <v>52</v>
      </c>
      <c r="B317" t="s">
        <v>7</v>
      </c>
      <c r="C317">
        <v>33.25</v>
      </c>
      <c r="D317">
        <v>0</v>
      </c>
      <c r="E317" t="s">
        <v>4</v>
      </c>
      <c r="F317" t="s">
        <v>6</v>
      </c>
      <c r="G317" s="2">
        <v>9722.7695000000003</v>
      </c>
      <c r="H317" s="1" t="str">
        <f>IF(A317&lt;31,"18-30",IF(A317&lt;46,"31-45",IF(A317&lt;61,"46-60","60+")))</f>
        <v>46-60</v>
      </c>
      <c r="I317" t="str">
        <f>IF(C317&lt;18.5,"Underweight",IF(C317&lt;25,"Normal",IF(C317&lt;30,"Overweight","Obese")))</f>
        <v>Obese</v>
      </c>
      <c r="J317">
        <f>IF(E317="yes",1,0)</f>
        <v>0</v>
      </c>
      <c r="K317" t="str">
        <f>IF(G317&gt;15000,"High","Low")</f>
        <v>Low</v>
      </c>
    </row>
    <row r="318" spans="1:11" x14ac:dyDescent="0.35">
      <c r="A318">
        <v>50</v>
      </c>
      <c r="B318" t="s">
        <v>7</v>
      </c>
      <c r="C318">
        <v>32.204999999999998</v>
      </c>
      <c r="D318">
        <v>0</v>
      </c>
      <c r="E318" t="s">
        <v>4</v>
      </c>
      <c r="F318" t="s">
        <v>0</v>
      </c>
      <c r="G318" s="2">
        <v>8835.2649500000007</v>
      </c>
      <c r="H318" s="1" t="str">
        <f>IF(A318&lt;31,"18-30",IF(A318&lt;46,"31-45",IF(A318&lt;61,"46-60","60+")))</f>
        <v>46-60</v>
      </c>
      <c r="I318" t="str">
        <f>IF(C318&lt;18.5,"Underweight",IF(C318&lt;25,"Normal",IF(C318&lt;30,"Overweight","Obese")))</f>
        <v>Obese</v>
      </c>
      <c r="J318">
        <f>IF(E318="yes",1,0)</f>
        <v>0</v>
      </c>
      <c r="K318" t="str">
        <f>IF(G318&gt;15000,"High","Low")</f>
        <v>Low</v>
      </c>
    </row>
    <row r="319" spans="1:11" x14ac:dyDescent="0.35">
      <c r="A319">
        <v>54</v>
      </c>
      <c r="B319" t="s">
        <v>7</v>
      </c>
      <c r="C319">
        <v>32.774999999999999</v>
      </c>
      <c r="D319">
        <v>0</v>
      </c>
      <c r="E319" t="s">
        <v>4</v>
      </c>
      <c r="F319" t="s">
        <v>6</v>
      </c>
      <c r="G319" s="2">
        <v>10435.06525</v>
      </c>
      <c r="H319" s="1" t="str">
        <f>IF(A319&lt;31,"18-30",IF(A319&lt;46,"31-45",IF(A319&lt;61,"46-60","60+")))</f>
        <v>46-60</v>
      </c>
      <c r="I319" t="str">
        <f>IF(C319&lt;18.5,"Underweight",IF(C319&lt;25,"Normal",IF(C319&lt;30,"Overweight","Obese")))</f>
        <v>Obese</v>
      </c>
      <c r="J319">
        <f>IF(E319="yes",1,0)</f>
        <v>0</v>
      </c>
      <c r="K319" t="str">
        <f>IF(G319&gt;15000,"High","Low")</f>
        <v>Low</v>
      </c>
    </row>
    <row r="320" spans="1:11" x14ac:dyDescent="0.35">
      <c r="A320">
        <v>44</v>
      </c>
      <c r="B320" t="s">
        <v>2</v>
      </c>
      <c r="C320">
        <v>27.645</v>
      </c>
      <c r="D320">
        <v>0</v>
      </c>
      <c r="E320" t="s">
        <v>4</v>
      </c>
      <c r="F320" t="s">
        <v>0</v>
      </c>
      <c r="G320" s="2">
        <v>7421.1945500000002</v>
      </c>
      <c r="H320" s="1" t="str">
        <f>IF(A320&lt;31,"18-30",IF(A320&lt;46,"31-45",IF(A320&lt;61,"46-60","60+")))</f>
        <v>31-45</v>
      </c>
      <c r="I320" t="str">
        <f>IF(C320&lt;18.5,"Underweight",IF(C320&lt;25,"Normal",IF(C320&lt;30,"Overweight","Obese")))</f>
        <v>Overweight</v>
      </c>
      <c r="J320">
        <f>IF(E320="yes",1,0)</f>
        <v>0</v>
      </c>
      <c r="K320" t="str">
        <f>IF(G320&gt;15000,"High","Low")</f>
        <v>Low</v>
      </c>
    </row>
    <row r="321" spans="1:11" x14ac:dyDescent="0.35">
      <c r="A321">
        <v>32</v>
      </c>
      <c r="B321" t="s">
        <v>7</v>
      </c>
      <c r="C321">
        <v>37.335000000000001</v>
      </c>
      <c r="D321">
        <v>1</v>
      </c>
      <c r="E321" t="s">
        <v>4</v>
      </c>
      <c r="F321" t="s">
        <v>6</v>
      </c>
      <c r="G321" s="2">
        <v>4667.6076499999999</v>
      </c>
      <c r="H321" s="1" t="str">
        <f>IF(A321&lt;31,"18-30",IF(A321&lt;46,"31-45",IF(A321&lt;61,"46-60","60+")))</f>
        <v>31-45</v>
      </c>
      <c r="I321" t="str">
        <f>IF(C321&lt;18.5,"Underweight",IF(C321&lt;25,"Normal",IF(C321&lt;30,"Overweight","Obese")))</f>
        <v>Obese</v>
      </c>
      <c r="J321">
        <f>IF(E321="yes",1,0)</f>
        <v>0</v>
      </c>
      <c r="K321" t="str">
        <f>IF(G321&gt;15000,"High","Low")</f>
        <v>Low</v>
      </c>
    </row>
    <row r="322" spans="1:11" x14ac:dyDescent="0.35">
      <c r="A322">
        <v>34</v>
      </c>
      <c r="B322" t="s">
        <v>7</v>
      </c>
      <c r="C322">
        <v>25.27</v>
      </c>
      <c r="D322">
        <v>1</v>
      </c>
      <c r="E322" t="s">
        <v>4</v>
      </c>
      <c r="F322" t="s">
        <v>0</v>
      </c>
      <c r="G322" s="2">
        <v>4894.7533000000003</v>
      </c>
      <c r="H322" s="1" t="str">
        <f>IF(A322&lt;31,"18-30",IF(A322&lt;46,"31-45",IF(A322&lt;61,"46-60","60+")))</f>
        <v>31-45</v>
      </c>
      <c r="I322" t="str">
        <f>IF(C322&lt;18.5,"Underweight",IF(C322&lt;25,"Normal",IF(C322&lt;30,"Overweight","Obese")))</f>
        <v>Overweight</v>
      </c>
      <c r="J322">
        <f>IF(E322="yes",1,0)</f>
        <v>0</v>
      </c>
      <c r="K322" t="str">
        <f>IF(G322&gt;15000,"High","Low")</f>
        <v>Low</v>
      </c>
    </row>
    <row r="323" spans="1:11" x14ac:dyDescent="0.35">
      <c r="A323">
        <v>26</v>
      </c>
      <c r="B323" t="s">
        <v>2</v>
      </c>
      <c r="C323">
        <v>29.64</v>
      </c>
      <c r="D323">
        <v>4</v>
      </c>
      <c r="E323" t="s">
        <v>4</v>
      </c>
      <c r="F323" t="s">
        <v>6</v>
      </c>
      <c r="G323" s="2">
        <v>24671.663339999999</v>
      </c>
      <c r="H323" s="1" t="str">
        <f>IF(A323&lt;31,"18-30",IF(A323&lt;46,"31-45",IF(A323&lt;61,"46-60","60+")))</f>
        <v>18-30</v>
      </c>
      <c r="I323" t="str">
        <f>IF(C323&lt;18.5,"Underweight",IF(C323&lt;25,"Normal",IF(C323&lt;30,"Overweight","Obese")))</f>
        <v>Overweight</v>
      </c>
      <c r="J323">
        <f>IF(E323="yes",1,0)</f>
        <v>0</v>
      </c>
      <c r="K323" t="str">
        <f>IF(G323&gt;15000,"High","Low")</f>
        <v>High</v>
      </c>
    </row>
    <row r="324" spans="1:11" x14ac:dyDescent="0.35">
      <c r="A324">
        <v>34</v>
      </c>
      <c r="B324" t="s">
        <v>7</v>
      </c>
      <c r="C324">
        <v>30.8</v>
      </c>
      <c r="D324">
        <v>0</v>
      </c>
      <c r="E324" t="s">
        <v>1</v>
      </c>
      <c r="F324" t="s">
        <v>3</v>
      </c>
      <c r="G324" s="2">
        <v>35491.64</v>
      </c>
      <c r="H324" s="1" t="str">
        <f>IF(A324&lt;31,"18-30",IF(A324&lt;46,"31-45",IF(A324&lt;61,"46-60","60+")))</f>
        <v>31-45</v>
      </c>
      <c r="I324" t="str">
        <f>IF(C324&lt;18.5,"Underweight",IF(C324&lt;25,"Normal",IF(C324&lt;30,"Overweight","Obese")))</f>
        <v>Obese</v>
      </c>
      <c r="J324">
        <f>IF(E324="yes",1,0)</f>
        <v>1</v>
      </c>
      <c r="K324" t="str">
        <f>IF(G324&gt;15000,"High","Low")</f>
        <v>High</v>
      </c>
    </row>
    <row r="325" spans="1:11" x14ac:dyDescent="0.35">
      <c r="A325">
        <v>57</v>
      </c>
      <c r="B325" t="s">
        <v>7</v>
      </c>
      <c r="C325">
        <v>40.945</v>
      </c>
      <c r="D325">
        <v>0</v>
      </c>
      <c r="E325" t="s">
        <v>4</v>
      </c>
      <c r="F325" t="s">
        <v>6</v>
      </c>
      <c r="G325" s="2">
        <v>11566.30055</v>
      </c>
      <c r="H325" s="1" t="str">
        <f>IF(A325&lt;31,"18-30",IF(A325&lt;46,"31-45",IF(A325&lt;61,"46-60","60+")))</f>
        <v>46-60</v>
      </c>
      <c r="I325" t="str">
        <f>IF(C325&lt;18.5,"Underweight",IF(C325&lt;25,"Normal",IF(C325&lt;30,"Overweight","Obese")))</f>
        <v>Obese</v>
      </c>
      <c r="J325">
        <f>IF(E325="yes",1,0)</f>
        <v>0</v>
      </c>
      <c r="K325" t="str">
        <f>IF(G325&gt;15000,"High","Low")</f>
        <v>Low</v>
      </c>
    </row>
    <row r="326" spans="1:11" x14ac:dyDescent="0.35">
      <c r="A326">
        <v>29</v>
      </c>
      <c r="B326" t="s">
        <v>7</v>
      </c>
      <c r="C326">
        <v>27.2</v>
      </c>
      <c r="D326">
        <v>0</v>
      </c>
      <c r="E326" t="s">
        <v>4</v>
      </c>
      <c r="F326" t="s">
        <v>3</v>
      </c>
      <c r="G326" s="2">
        <v>2866.0909999999999</v>
      </c>
      <c r="H326" s="1" t="str">
        <f>IF(A326&lt;31,"18-30",IF(A326&lt;46,"31-45",IF(A326&lt;61,"46-60","60+")))</f>
        <v>18-30</v>
      </c>
      <c r="I326" t="str">
        <f>IF(C326&lt;18.5,"Underweight",IF(C326&lt;25,"Normal",IF(C326&lt;30,"Overweight","Obese")))</f>
        <v>Overweight</v>
      </c>
      <c r="J326">
        <f>IF(E326="yes",1,0)</f>
        <v>0</v>
      </c>
      <c r="K326" t="str">
        <f>IF(G326&gt;15000,"High","Low")</f>
        <v>Low</v>
      </c>
    </row>
    <row r="327" spans="1:11" x14ac:dyDescent="0.35">
      <c r="A327">
        <v>40</v>
      </c>
      <c r="B327" t="s">
        <v>7</v>
      </c>
      <c r="C327">
        <v>34.104999999999997</v>
      </c>
      <c r="D327">
        <v>1</v>
      </c>
      <c r="E327" t="s">
        <v>4</v>
      </c>
      <c r="F327" t="s">
        <v>6</v>
      </c>
      <c r="G327" s="2">
        <v>6600.2059499999996</v>
      </c>
      <c r="H327" s="1" t="str">
        <f>IF(A327&lt;31,"18-30",IF(A327&lt;46,"31-45",IF(A327&lt;61,"46-60","60+")))</f>
        <v>31-45</v>
      </c>
      <c r="I327" t="str">
        <f>IF(C327&lt;18.5,"Underweight",IF(C327&lt;25,"Normal",IF(C327&lt;30,"Overweight","Obese")))</f>
        <v>Obese</v>
      </c>
      <c r="J327">
        <f>IF(E327="yes",1,0)</f>
        <v>0</v>
      </c>
      <c r="K327" t="str">
        <f>IF(G327&gt;15000,"High","Low")</f>
        <v>Low</v>
      </c>
    </row>
    <row r="328" spans="1:11" x14ac:dyDescent="0.35">
      <c r="A328">
        <v>27</v>
      </c>
      <c r="B328" t="s">
        <v>2</v>
      </c>
      <c r="C328">
        <v>23.21</v>
      </c>
      <c r="D328">
        <v>1</v>
      </c>
      <c r="E328" t="s">
        <v>4</v>
      </c>
      <c r="F328" t="s">
        <v>5</v>
      </c>
      <c r="G328" s="2">
        <v>3561.8888999999999</v>
      </c>
      <c r="H328" s="1" t="str">
        <f>IF(A328&lt;31,"18-30",IF(A328&lt;46,"31-45",IF(A328&lt;61,"46-60","60+")))</f>
        <v>18-30</v>
      </c>
      <c r="I328" t="str">
        <f>IF(C328&lt;18.5,"Underweight",IF(C328&lt;25,"Normal",IF(C328&lt;30,"Overweight","Obese")))</f>
        <v>Normal</v>
      </c>
      <c r="J328">
        <f>IF(E328="yes",1,0)</f>
        <v>0</v>
      </c>
      <c r="K328" t="str">
        <f>IF(G328&gt;15000,"High","Low")</f>
        <v>Low</v>
      </c>
    </row>
    <row r="329" spans="1:11" x14ac:dyDescent="0.35">
      <c r="A329">
        <v>45</v>
      </c>
      <c r="B329" t="s">
        <v>7</v>
      </c>
      <c r="C329">
        <v>36.479999999999997</v>
      </c>
      <c r="D329">
        <v>2</v>
      </c>
      <c r="E329" t="s">
        <v>1</v>
      </c>
      <c r="F329" t="s">
        <v>0</v>
      </c>
      <c r="G329" s="2">
        <v>42760.502200000003</v>
      </c>
      <c r="H329" s="1" t="str">
        <f>IF(A329&lt;31,"18-30",IF(A329&lt;46,"31-45",IF(A329&lt;61,"46-60","60+")))</f>
        <v>31-45</v>
      </c>
      <c r="I329" t="str">
        <f>IF(C329&lt;18.5,"Underweight",IF(C329&lt;25,"Normal",IF(C329&lt;30,"Overweight","Obese")))</f>
        <v>Obese</v>
      </c>
      <c r="J329">
        <f>IF(E329="yes",1,0)</f>
        <v>1</v>
      </c>
      <c r="K329" t="str">
        <f>IF(G329&gt;15000,"High","Low")</f>
        <v>High</v>
      </c>
    </row>
    <row r="330" spans="1:11" x14ac:dyDescent="0.35">
      <c r="A330">
        <v>64</v>
      </c>
      <c r="B330" t="s">
        <v>2</v>
      </c>
      <c r="C330">
        <v>33.799999999999997</v>
      </c>
      <c r="D330">
        <v>1</v>
      </c>
      <c r="E330" t="s">
        <v>1</v>
      </c>
      <c r="F330" t="s">
        <v>3</v>
      </c>
      <c r="G330" s="2">
        <v>47928.03</v>
      </c>
      <c r="H330" s="1" t="str">
        <f>IF(A330&lt;31,"18-30",IF(A330&lt;46,"31-45",IF(A330&lt;61,"46-60","60+")))</f>
        <v>60+</v>
      </c>
      <c r="I330" t="str">
        <f>IF(C330&lt;18.5,"Underweight",IF(C330&lt;25,"Normal",IF(C330&lt;30,"Overweight","Obese")))</f>
        <v>Obese</v>
      </c>
      <c r="J330">
        <f>IF(E330="yes",1,0)</f>
        <v>1</v>
      </c>
      <c r="K330" t="str">
        <f>IF(G330&gt;15000,"High","Low")</f>
        <v>High</v>
      </c>
    </row>
    <row r="331" spans="1:11" x14ac:dyDescent="0.35">
      <c r="A331">
        <v>52</v>
      </c>
      <c r="B331" t="s">
        <v>7</v>
      </c>
      <c r="C331">
        <v>36.700000000000003</v>
      </c>
      <c r="D331">
        <v>0</v>
      </c>
      <c r="E331" t="s">
        <v>4</v>
      </c>
      <c r="F331" t="s">
        <v>3</v>
      </c>
      <c r="G331" s="2">
        <v>9144.5650000000005</v>
      </c>
      <c r="H331" s="1" t="str">
        <f>IF(A331&lt;31,"18-30",IF(A331&lt;46,"31-45",IF(A331&lt;61,"46-60","60+")))</f>
        <v>46-60</v>
      </c>
      <c r="I331" t="str">
        <f>IF(C331&lt;18.5,"Underweight",IF(C331&lt;25,"Normal",IF(C331&lt;30,"Overweight","Obese")))</f>
        <v>Obese</v>
      </c>
      <c r="J331">
        <f>IF(E331="yes",1,0)</f>
        <v>0</v>
      </c>
      <c r="K331" t="str">
        <f>IF(G331&gt;15000,"High","Low")</f>
        <v>Low</v>
      </c>
    </row>
    <row r="332" spans="1:11" x14ac:dyDescent="0.35">
      <c r="A332">
        <v>61</v>
      </c>
      <c r="B332" t="s">
        <v>2</v>
      </c>
      <c r="C332">
        <v>36.384999999999998</v>
      </c>
      <c r="D332">
        <v>1</v>
      </c>
      <c r="E332" t="s">
        <v>1</v>
      </c>
      <c r="F332" t="s">
        <v>6</v>
      </c>
      <c r="G332" s="2">
        <v>48517.563150000002</v>
      </c>
      <c r="H332" s="1" t="str">
        <f>IF(A332&lt;31,"18-30",IF(A332&lt;46,"31-45",IF(A332&lt;61,"46-60","60+")))</f>
        <v>60+</v>
      </c>
      <c r="I332" t="str">
        <f>IF(C332&lt;18.5,"Underweight",IF(C332&lt;25,"Normal",IF(C332&lt;30,"Overweight","Obese")))</f>
        <v>Obese</v>
      </c>
      <c r="J332">
        <f>IF(E332="yes",1,0)</f>
        <v>1</v>
      </c>
      <c r="K332" t="str">
        <f>IF(G332&gt;15000,"High","Low")</f>
        <v>High</v>
      </c>
    </row>
    <row r="333" spans="1:11" x14ac:dyDescent="0.35">
      <c r="A333">
        <v>52</v>
      </c>
      <c r="B333" t="s">
        <v>7</v>
      </c>
      <c r="C333">
        <v>27.36</v>
      </c>
      <c r="D333">
        <v>0</v>
      </c>
      <c r="E333" t="s">
        <v>1</v>
      </c>
      <c r="F333" t="s">
        <v>0</v>
      </c>
      <c r="G333" s="2">
        <v>24393.6224</v>
      </c>
      <c r="H333" s="1" t="str">
        <f>IF(A333&lt;31,"18-30",IF(A333&lt;46,"31-45",IF(A333&lt;61,"46-60","60+")))</f>
        <v>46-60</v>
      </c>
      <c r="I333" t="str">
        <f>IF(C333&lt;18.5,"Underweight",IF(C333&lt;25,"Normal",IF(C333&lt;30,"Overweight","Obese")))</f>
        <v>Overweight</v>
      </c>
      <c r="J333">
        <f>IF(E333="yes",1,0)</f>
        <v>1</v>
      </c>
      <c r="K333" t="str">
        <f>IF(G333&gt;15000,"High","Low")</f>
        <v>High</v>
      </c>
    </row>
    <row r="334" spans="1:11" x14ac:dyDescent="0.35">
      <c r="A334">
        <v>61</v>
      </c>
      <c r="B334" t="s">
        <v>2</v>
      </c>
      <c r="C334">
        <v>31.16</v>
      </c>
      <c r="D334">
        <v>0</v>
      </c>
      <c r="E334" t="s">
        <v>4</v>
      </c>
      <c r="F334" t="s">
        <v>0</v>
      </c>
      <c r="G334" s="2">
        <v>13429.035400000001</v>
      </c>
      <c r="H334" s="1" t="str">
        <f>IF(A334&lt;31,"18-30",IF(A334&lt;46,"31-45",IF(A334&lt;61,"46-60","60+")))</f>
        <v>60+</v>
      </c>
      <c r="I334" t="str">
        <f>IF(C334&lt;18.5,"Underweight",IF(C334&lt;25,"Normal",IF(C334&lt;30,"Overweight","Obese")))</f>
        <v>Obese</v>
      </c>
      <c r="J334">
        <f>IF(E334="yes",1,0)</f>
        <v>0</v>
      </c>
      <c r="K334" t="str">
        <f>IF(G334&gt;15000,"High","Low")</f>
        <v>Low</v>
      </c>
    </row>
    <row r="335" spans="1:11" x14ac:dyDescent="0.35">
      <c r="A335">
        <v>56</v>
      </c>
      <c r="B335" t="s">
        <v>2</v>
      </c>
      <c r="C335">
        <v>28.785</v>
      </c>
      <c r="D335">
        <v>0</v>
      </c>
      <c r="E335" t="s">
        <v>4</v>
      </c>
      <c r="F335" t="s">
        <v>6</v>
      </c>
      <c r="G335" s="2">
        <v>11658.379150000001</v>
      </c>
      <c r="H335" s="1" t="str">
        <f>IF(A335&lt;31,"18-30",IF(A335&lt;46,"31-45",IF(A335&lt;61,"46-60","60+")))</f>
        <v>46-60</v>
      </c>
      <c r="I335" t="str">
        <f>IF(C335&lt;18.5,"Underweight",IF(C335&lt;25,"Normal",IF(C335&lt;30,"Overweight","Obese")))</f>
        <v>Overweight</v>
      </c>
      <c r="J335">
        <f>IF(E335="yes",1,0)</f>
        <v>0</v>
      </c>
      <c r="K335" t="str">
        <f>IF(G335&gt;15000,"High","Low")</f>
        <v>Low</v>
      </c>
    </row>
    <row r="336" spans="1:11" x14ac:dyDescent="0.35">
      <c r="A336">
        <v>43</v>
      </c>
      <c r="B336" t="s">
        <v>2</v>
      </c>
      <c r="C336">
        <v>35.72</v>
      </c>
      <c r="D336">
        <v>2</v>
      </c>
      <c r="E336" t="s">
        <v>4</v>
      </c>
      <c r="F336" t="s">
        <v>6</v>
      </c>
      <c r="G336" s="2">
        <v>19144.576519999999</v>
      </c>
      <c r="H336" s="1" t="str">
        <f>IF(A336&lt;31,"18-30",IF(A336&lt;46,"31-45",IF(A336&lt;61,"46-60","60+")))</f>
        <v>31-45</v>
      </c>
      <c r="I336" t="str">
        <f>IF(C336&lt;18.5,"Underweight",IF(C336&lt;25,"Normal",IF(C336&lt;30,"Overweight","Obese")))</f>
        <v>Obese</v>
      </c>
      <c r="J336">
        <f>IF(E336="yes",1,0)</f>
        <v>0</v>
      </c>
      <c r="K336" t="str">
        <f>IF(G336&gt;15000,"High","Low")</f>
        <v>High</v>
      </c>
    </row>
    <row r="337" spans="1:11" x14ac:dyDescent="0.35">
      <c r="A337">
        <v>64</v>
      </c>
      <c r="B337" t="s">
        <v>7</v>
      </c>
      <c r="C337">
        <v>34.5</v>
      </c>
      <c r="D337">
        <v>0</v>
      </c>
      <c r="E337" t="s">
        <v>4</v>
      </c>
      <c r="F337" t="s">
        <v>3</v>
      </c>
      <c r="G337" s="2">
        <v>13822.803</v>
      </c>
      <c r="H337" s="1" t="str">
        <f>IF(A337&lt;31,"18-30",IF(A337&lt;46,"31-45",IF(A337&lt;61,"46-60","60+")))</f>
        <v>60+</v>
      </c>
      <c r="I337" t="str">
        <f>IF(C337&lt;18.5,"Underweight",IF(C337&lt;25,"Normal",IF(C337&lt;30,"Overweight","Obese")))</f>
        <v>Obese</v>
      </c>
      <c r="J337">
        <f>IF(E337="yes",1,0)</f>
        <v>0</v>
      </c>
      <c r="K337" t="str">
        <f>IF(G337&gt;15000,"High","Low")</f>
        <v>Low</v>
      </c>
    </row>
    <row r="338" spans="1:11" x14ac:dyDescent="0.35">
      <c r="A338">
        <v>60</v>
      </c>
      <c r="B338" t="s">
        <v>7</v>
      </c>
      <c r="C338">
        <v>25.74</v>
      </c>
      <c r="D338">
        <v>0</v>
      </c>
      <c r="E338" t="s">
        <v>4</v>
      </c>
      <c r="F338" t="s">
        <v>5</v>
      </c>
      <c r="G338" s="2">
        <v>12142.578600000001</v>
      </c>
      <c r="H338" s="1" t="str">
        <f>IF(A338&lt;31,"18-30",IF(A338&lt;46,"31-45",IF(A338&lt;61,"46-60","60+")))</f>
        <v>46-60</v>
      </c>
      <c r="I338" t="str">
        <f>IF(C338&lt;18.5,"Underweight",IF(C338&lt;25,"Normal",IF(C338&lt;30,"Overweight","Obese")))</f>
        <v>Overweight</v>
      </c>
      <c r="J338">
        <f>IF(E338="yes",1,0)</f>
        <v>0</v>
      </c>
      <c r="K338" t="str">
        <f>IF(G338&gt;15000,"High","Low")</f>
        <v>Low</v>
      </c>
    </row>
    <row r="339" spans="1:11" x14ac:dyDescent="0.35">
      <c r="A339">
        <v>62</v>
      </c>
      <c r="B339" t="s">
        <v>7</v>
      </c>
      <c r="C339">
        <v>27.55</v>
      </c>
      <c r="D339">
        <v>1</v>
      </c>
      <c r="E339" t="s">
        <v>4</v>
      </c>
      <c r="F339" t="s">
        <v>0</v>
      </c>
      <c r="G339" s="2">
        <v>13937.666499999999</v>
      </c>
      <c r="H339" s="1" t="str">
        <f>IF(A339&lt;31,"18-30",IF(A339&lt;46,"31-45",IF(A339&lt;61,"46-60","60+")))</f>
        <v>60+</v>
      </c>
      <c r="I339" t="str">
        <f>IF(C339&lt;18.5,"Underweight",IF(C339&lt;25,"Normal",IF(C339&lt;30,"Overweight","Obese")))</f>
        <v>Overweight</v>
      </c>
      <c r="J339">
        <f>IF(E339="yes",1,0)</f>
        <v>0</v>
      </c>
      <c r="K339" t="str">
        <f>IF(G339&gt;15000,"High","Low")</f>
        <v>Low</v>
      </c>
    </row>
    <row r="340" spans="1:11" x14ac:dyDescent="0.35">
      <c r="A340">
        <v>50</v>
      </c>
      <c r="B340" t="s">
        <v>7</v>
      </c>
      <c r="C340">
        <v>32.299999999999997</v>
      </c>
      <c r="D340">
        <v>1</v>
      </c>
      <c r="E340" t="s">
        <v>1</v>
      </c>
      <c r="F340" t="s">
        <v>6</v>
      </c>
      <c r="G340" s="2">
        <v>41919.097000000002</v>
      </c>
      <c r="H340" s="1" t="str">
        <f>IF(A340&lt;31,"18-30",IF(A340&lt;46,"31-45",IF(A340&lt;61,"46-60","60+")))</f>
        <v>46-60</v>
      </c>
      <c r="I340" t="str">
        <f>IF(C340&lt;18.5,"Underweight",IF(C340&lt;25,"Normal",IF(C340&lt;30,"Overweight","Obese")))</f>
        <v>Obese</v>
      </c>
      <c r="J340">
        <f>IF(E340="yes",1,0)</f>
        <v>1</v>
      </c>
      <c r="K340" t="str">
        <f>IF(G340&gt;15000,"High","Low")</f>
        <v>High</v>
      </c>
    </row>
    <row r="341" spans="1:11" x14ac:dyDescent="0.35">
      <c r="A341">
        <v>46</v>
      </c>
      <c r="B341" t="s">
        <v>2</v>
      </c>
      <c r="C341">
        <v>27.72</v>
      </c>
      <c r="D341">
        <v>1</v>
      </c>
      <c r="E341" t="s">
        <v>4</v>
      </c>
      <c r="F341" t="s">
        <v>5</v>
      </c>
      <c r="G341" s="2">
        <v>8232.6388000000006</v>
      </c>
      <c r="H341" s="1" t="str">
        <f>IF(A341&lt;31,"18-30",IF(A341&lt;46,"31-45",IF(A341&lt;61,"46-60","60+")))</f>
        <v>46-60</v>
      </c>
      <c r="I341" t="str">
        <f>IF(C341&lt;18.5,"Underweight",IF(C341&lt;25,"Normal",IF(C341&lt;30,"Overweight","Obese")))</f>
        <v>Overweight</v>
      </c>
      <c r="J341">
        <f>IF(E341="yes",1,0)</f>
        <v>0</v>
      </c>
      <c r="K341" t="str">
        <f>IF(G341&gt;15000,"High","Low")</f>
        <v>Low</v>
      </c>
    </row>
    <row r="342" spans="1:11" x14ac:dyDescent="0.35">
      <c r="A342">
        <v>24</v>
      </c>
      <c r="B342" t="s">
        <v>2</v>
      </c>
      <c r="C342">
        <v>27.6</v>
      </c>
      <c r="D342">
        <v>0</v>
      </c>
      <c r="E342" t="s">
        <v>4</v>
      </c>
      <c r="F342" t="s">
        <v>3</v>
      </c>
      <c r="G342" s="2">
        <v>18955.220170000001</v>
      </c>
      <c r="H342" s="1" t="str">
        <f>IF(A342&lt;31,"18-30",IF(A342&lt;46,"31-45",IF(A342&lt;61,"46-60","60+")))</f>
        <v>18-30</v>
      </c>
      <c r="I342" t="str">
        <f>IF(C342&lt;18.5,"Underweight",IF(C342&lt;25,"Normal",IF(C342&lt;30,"Overweight","Obese")))</f>
        <v>Overweight</v>
      </c>
      <c r="J342">
        <f>IF(E342="yes",1,0)</f>
        <v>0</v>
      </c>
      <c r="K342" t="str">
        <f>IF(G342&gt;15000,"High","Low")</f>
        <v>High</v>
      </c>
    </row>
    <row r="343" spans="1:11" x14ac:dyDescent="0.35">
      <c r="A343">
        <v>62</v>
      </c>
      <c r="B343" t="s">
        <v>7</v>
      </c>
      <c r="C343">
        <v>30.02</v>
      </c>
      <c r="D343">
        <v>0</v>
      </c>
      <c r="E343" t="s">
        <v>4</v>
      </c>
      <c r="F343" t="s">
        <v>0</v>
      </c>
      <c r="G343" s="2">
        <v>13352.0998</v>
      </c>
      <c r="H343" s="1" t="str">
        <f>IF(A343&lt;31,"18-30",IF(A343&lt;46,"31-45",IF(A343&lt;61,"46-60","60+")))</f>
        <v>60+</v>
      </c>
      <c r="I343" t="str">
        <f>IF(C343&lt;18.5,"Underweight",IF(C343&lt;25,"Normal",IF(C343&lt;30,"Overweight","Obese")))</f>
        <v>Obese</v>
      </c>
      <c r="J343">
        <f>IF(E343="yes",1,0)</f>
        <v>0</v>
      </c>
      <c r="K343" t="str">
        <f>IF(G343&gt;15000,"High","Low")</f>
        <v>Low</v>
      </c>
    </row>
    <row r="344" spans="1:11" x14ac:dyDescent="0.35">
      <c r="A344">
        <v>60</v>
      </c>
      <c r="B344" t="s">
        <v>2</v>
      </c>
      <c r="C344">
        <v>27.55</v>
      </c>
      <c r="D344">
        <v>0</v>
      </c>
      <c r="E344" t="s">
        <v>4</v>
      </c>
      <c r="F344" t="s">
        <v>6</v>
      </c>
      <c r="G344" s="2">
        <v>13217.094499999999</v>
      </c>
      <c r="H344" s="1" t="str">
        <f>IF(A344&lt;31,"18-30",IF(A344&lt;46,"31-45",IF(A344&lt;61,"46-60","60+")))</f>
        <v>46-60</v>
      </c>
      <c r="I344" t="str">
        <f>IF(C344&lt;18.5,"Underweight",IF(C344&lt;25,"Normal",IF(C344&lt;30,"Overweight","Obese")))</f>
        <v>Overweight</v>
      </c>
      <c r="J344">
        <f>IF(E344="yes",1,0)</f>
        <v>0</v>
      </c>
      <c r="K344" t="str">
        <f>IF(G344&gt;15000,"High","Low")</f>
        <v>Low</v>
      </c>
    </row>
    <row r="345" spans="1:11" x14ac:dyDescent="0.35">
      <c r="A345">
        <v>63</v>
      </c>
      <c r="B345" t="s">
        <v>7</v>
      </c>
      <c r="C345">
        <v>36.765000000000001</v>
      </c>
      <c r="D345">
        <v>0</v>
      </c>
      <c r="E345" t="s">
        <v>4</v>
      </c>
      <c r="F345" t="s">
        <v>6</v>
      </c>
      <c r="G345" s="2">
        <v>13981.850350000001</v>
      </c>
      <c r="H345" s="1" t="str">
        <f>IF(A345&lt;31,"18-30",IF(A345&lt;46,"31-45",IF(A345&lt;61,"46-60","60+")))</f>
        <v>60+</v>
      </c>
      <c r="I345" t="str">
        <f>IF(C345&lt;18.5,"Underweight",IF(C345&lt;25,"Normal",IF(C345&lt;30,"Overweight","Obese")))</f>
        <v>Obese</v>
      </c>
      <c r="J345">
        <f>IF(E345="yes",1,0)</f>
        <v>0</v>
      </c>
      <c r="K345" t="str">
        <f>IF(G345&gt;15000,"High","Low")</f>
        <v>Low</v>
      </c>
    </row>
    <row r="346" spans="1:11" x14ac:dyDescent="0.35">
      <c r="A346">
        <v>49</v>
      </c>
      <c r="B346" t="s">
        <v>2</v>
      </c>
      <c r="C346">
        <v>41.47</v>
      </c>
      <c r="D346">
        <v>4</v>
      </c>
      <c r="E346" t="s">
        <v>4</v>
      </c>
      <c r="F346" t="s">
        <v>5</v>
      </c>
      <c r="G346" s="2">
        <v>10977.2063</v>
      </c>
      <c r="H346" s="1" t="str">
        <f>IF(A346&lt;31,"18-30",IF(A346&lt;46,"31-45",IF(A346&lt;61,"46-60","60+")))</f>
        <v>46-60</v>
      </c>
      <c r="I346" t="str">
        <f>IF(C346&lt;18.5,"Underweight",IF(C346&lt;25,"Normal",IF(C346&lt;30,"Overweight","Obese")))</f>
        <v>Obese</v>
      </c>
      <c r="J346">
        <f>IF(E346="yes",1,0)</f>
        <v>0</v>
      </c>
      <c r="K346" t="str">
        <f>IF(G346&gt;15000,"High","Low")</f>
        <v>Low</v>
      </c>
    </row>
    <row r="347" spans="1:11" x14ac:dyDescent="0.35">
      <c r="A347">
        <v>34</v>
      </c>
      <c r="B347" t="s">
        <v>2</v>
      </c>
      <c r="C347">
        <v>29.26</v>
      </c>
      <c r="D347">
        <v>3</v>
      </c>
      <c r="E347" t="s">
        <v>4</v>
      </c>
      <c r="F347" t="s">
        <v>5</v>
      </c>
      <c r="G347" s="2">
        <v>6184.2993999999999</v>
      </c>
      <c r="H347" s="1" t="str">
        <f>IF(A347&lt;31,"18-30",IF(A347&lt;46,"31-45",IF(A347&lt;61,"46-60","60+")))</f>
        <v>31-45</v>
      </c>
      <c r="I347" t="str">
        <f>IF(C347&lt;18.5,"Underweight",IF(C347&lt;25,"Normal",IF(C347&lt;30,"Overweight","Obese")))</f>
        <v>Overweight</v>
      </c>
      <c r="J347">
        <f>IF(E347="yes",1,0)</f>
        <v>0</v>
      </c>
      <c r="K347" t="str">
        <f>IF(G347&gt;15000,"High","Low")</f>
        <v>Low</v>
      </c>
    </row>
    <row r="348" spans="1:11" x14ac:dyDescent="0.35">
      <c r="A348">
        <v>33</v>
      </c>
      <c r="B348" t="s">
        <v>7</v>
      </c>
      <c r="C348">
        <v>35.75</v>
      </c>
      <c r="D348">
        <v>2</v>
      </c>
      <c r="E348" t="s">
        <v>4</v>
      </c>
      <c r="F348" t="s">
        <v>5</v>
      </c>
      <c r="G348" s="2">
        <v>4889.9994999999999</v>
      </c>
      <c r="H348" s="1" t="str">
        <f>IF(A348&lt;31,"18-30",IF(A348&lt;46,"31-45",IF(A348&lt;61,"46-60","60+")))</f>
        <v>31-45</v>
      </c>
      <c r="I348" t="str">
        <f>IF(C348&lt;18.5,"Underweight",IF(C348&lt;25,"Normal",IF(C348&lt;30,"Overweight","Obese")))</f>
        <v>Obese</v>
      </c>
      <c r="J348">
        <f>IF(E348="yes",1,0)</f>
        <v>0</v>
      </c>
      <c r="K348" t="str">
        <f>IF(G348&gt;15000,"High","Low")</f>
        <v>Low</v>
      </c>
    </row>
    <row r="349" spans="1:11" x14ac:dyDescent="0.35">
      <c r="A349">
        <v>46</v>
      </c>
      <c r="B349" t="s">
        <v>7</v>
      </c>
      <c r="C349">
        <v>33.344999999999999</v>
      </c>
      <c r="D349">
        <v>1</v>
      </c>
      <c r="E349" t="s">
        <v>4</v>
      </c>
      <c r="F349" t="s">
        <v>6</v>
      </c>
      <c r="G349" s="2">
        <v>8334.4575499999992</v>
      </c>
      <c r="H349" s="1" t="str">
        <f>IF(A349&lt;31,"18-30",IF(A349&lt;46,"31-45",IF(A349&lt;61,"46-60","60+")))</f>
        <v>46-60</v>
      </c>
      <c r="I349" t="str">
        <f>IF(C349&lt;18.5,"Underweight",IF(C349&lt;25,"Normal",IF(C349&lt;30,"Overweight","Obese")))</f>
        <v>Obese</v>
      </c>
      <c r="J349">
        <f>IF(E349="yes",1,0)</f>
        <v>0</v>
      </c>
      <c r="K349" t="str">
        <f>IF(G349&gt;15000,"High","Low")</f>
        <v>Low</v>
      </c>
    </row>
    <row r="350" spans="1:11" x14ac:dyDescent="0.35">
      <c r="A350">
        <v>36</v>
      </c>
      <c r="B350" t="s">
        <v>2</v>
      </c>
      <c r="C350">
        <v>29.92</v>
      </c>
      <c r="D350">
        <v>1</v>
      </c>
      <c r="E350" t="s">
        <v>4</v>
      </c>
      <c r="F350" t="s">
        <v>5</v>
      </c>
      <c r="G350" s="2">
        <v>5478.0367999999999</v>
      </c>
      <c r="H350" s="1" t="str">
        <f>IF(A350&lt;31,"18-30",IF(A350&lt;46,"31-45",IF(A350&lt;61,"46-60","60+")))</f>
        <v>31-45</v>
      </c>
      <c r="I350" t="str">
        <f>IF(C350&lt;18.5,"Underweight",IF(C350&lt;25,"Normal",IF(C350&lt;30,"Overweight","Obese")))</f>
        <v>Overweight</v>
      </c>
      <c r="J350">
        <f>IF(E350="yes",1,0)</f>
        <v>0</v>
      </c>
      <c r="K350" t="str">
        <f>IF(G350&gt;15000,"High","Low")</f>
        <v>Low</v>
      </c>
    </row>
    <row r="351" spans="1:11" x14ac:dyDescent="0.35">
      <c r="A351">
        <v>19</v>
      </c>
      <c r="B351" t="s">
        <v>7</v>
      </c>
      <c r="C351">
        <v>27.835000000000001</v>
      </c>
      <c r="D351">
        <v>0</v>
      </c>
      <c r="E351" t="s">
        <v>4</v>
      </c>
      <c r="F351" t="s">
        <v>0</v>
      </c>
      <c r="G351" s="2">
        <v>1635.7336499999999</v>
      </c>
      <c r="H351" s="1" t="str">
        <f>IF(A351&lt;31,"18-30",IF(A351&lt;46,"31-45",IF(A351&lt;61,"46-60","60+")))</f>
        <v>18-30</v>
      </c>
      <c r="I351" t="str">
        <f>IF(C351&lt;18.5,"Underweight",IF(C351&lt;25,"Normal",IF(C351&lt;30,"Overweight","Obese")))</f>
        <v>Overweight</v>
      </c>
      <c r="J351">
        <f>IF(E351="yes",1,0)</f>
        <v>0</v>
      </c>
      <c r="K351" t="str">
        <f>IF(G351&gt;15000,"High","Low")</f>
        <v>Low</v>
      </c>
    </row>
    <row r="352" spans="1:11" x14ac:dyDescent="0.35">
      <c r="A352">
        <v>57</v>
      </c>
      <c r="B352" t="s">
        <v>2</v>
      </c>
      <c r="C352">
        <v>23.18</v>
      </c>
      <c r="D352">
        <v>0</v>
      </c>
      <c r="E352" t="s">
        <v>4</v>
      </c>
      <c r="F352" t="s">
        <v>0</v>
      </c>
      <c r="G352" s="2">
        <v>11830.6072</v>
      </c>
      <c r="H352" s="1" t="str">
        <f>IF(A352&lt;31,"18-30",IF(A352&lt;46,"31-45",IF(A352&lt;61,"46-60","60+")))</f>
        <v>46-60</v>
      </c>
      <c r="I352" t="str">
        <f>IF(C352&lt;18.5,"Underweight",IF(C352&lt;25,"Normal",IF(C352&lt;30,"Overweight","Obese")))</f>
        <v>Normal</v>
      </c>
      <c r="J352">
        <f>IF(E352="yes",1,0)</f>
        <v>0</v>
      </c>
      <c r="K352" t="str">
        <f>IF(G352&gt;15000,"High","Low")</f>
        <v>Low</v>
      </c>
    </row>
    <row r="353" spans="1:11" x14ac:dyDescent="0.35">
      <c r="A353">
        <v>50</v>
      </c>
      <c r="B353" t="s">
        <v>2</v>
      </c>
      <c r="C353">
        <v>25.6</v>
      </c>
      <c r="D353">
        <v>0</v>
      </c>
      <c r="E353" t="s">
        <v>4</v>
      </c>
      <c r="F353" t="s">
        <v>3</v>
      </c>
      <c r="G353" s="2">
        <v>8932.0840000000007</v>
      </c>
      <c r="H353" s="1" t="str">
        <f>IF(A353&lt;31,"18-30",IF(A353&lt;46,"31-45",IF(A353&lt;61,"46-60","60+")))</f>
        <v>46-60</v>
      </c>
      <c r="I353" t="str">
        <f>IF(C353&lt;18.5,"Underweight",IF(C353&lt;25,"Normal",IF(C353&lt;30,"Overweight","Obese")))</f>
        <v>Overweight</v>
      </c>
      <c r="J353">
        <f>IF(E353="yes",1,0)</f>
        <v>0</v>
      </c>
      <c r="K353" t="str">
        <f>IF(G353&gt;15000,"High","Low")</f>
        <v>Low</v>
      </c>
    </row>
    <row r="354" spans="1:11" x14ac:dyDescent="0.35">
      <c r="A354">
        <v>30</v>
      </c>
      <c r="B354" t="s">
        <v>2</v>
      </c>
      <c r="C354">
        <v>27.7</v>
      </c>
      <c r="D354">
        <v>0</v>
      </c>
      <c r="E354" t="s">
        <v>4</v>
      </c>
      <c r="F354" t="s">
        <v>3</v>
      </c>
      <c r="G354" s="2">
        <v>3554.203</v>
      </c>
      <c r="H354" s="1" t="str">
        <f>IF(A354&lt;31,"18-30",IF(A354&lt;46,"31-45",IF(A354&lt;61,"46-60","60+")))</f>
        <v>18-30</v>
      </c>
      <c r="I354" t="str">
        <f>IF(C354&lt;18.5,"Underweight",IF(C354&lt;25,"Normal",IF(C354&lt;30,"Overweight","Obese")))</f>
        <v>Overweight</v>
      </c>
      <c r="J354">
        <f>IF(E354="yes",1,0)</f>
        <v>0</v>
      </c>
      <c r="K354" t="str">
        <f>IF(G354&gt;15000,"High","Low")</f>
        <v>Low</v>
      </c>
    </row>
    <row r="355" spans="1:11" x14ac:dyDescent="0.35">
      <c r="A355">
        <v>33</v>
      </c>
      <c r="B355" t="s">
        <v>7</v>
      </c>
      <c r="C355">
        <v>35.244999999999997</v>
      </c>
      <c r="D355">
        <v>0</v>
      </c>
      <c r="E355" t="s">
        <v>4</v>
      </c>
      <c r="F355" t="s">
        <v>6</v>
      </c>
      <c r="G355" s="2">
        <v>12404.8791</v>
      </c>
      <c r="H355" s="1" t="str">
        <f>IF(A355&lt;31,"18-30",IF(A355&lt;46,"31-45",IF(A355&lt;61,"46-60","60+")))</f>
        <v>31-45</v>
      </c>
      <c r="I355" t="str">
        <f>IF(C355&lt;18.5,"Underweight",IF(C355&lt;25,"Normal",IF(C355&lt;30,"Overweight","Obese")))</f>
        <v>Obese</v>
      </c>
      <c r="J355">
        <f>IF(E355="yes",1,0)</f>
        <v>0</v>
      </c>
      <c r="K355" t="str">
        <f>IF(G355&gt;15000,"High","Low")</f>
        <v>Low</v>
      </c>
    </row>
    <row r="356" spans="1:11" x14ac:dyDescent="0.35">
      <c r="A356">
        <v>18</v>
      </c>
      <c r="B356" t="s">
        <v>2</v>
      </c>
      <c r="C356">
        <v>38.28</v>
      </c>
      <c r="D356">
        <v>0</v>
      </c>
      <c r="E356" t="s">
        <v>4</v>
      </c>
      <c r="F356" t="s">
        <v>5</v>
      </c>
      <c r="G356" s="2">
        <v>14133.03775</v>
      </c>
      <c r="H356" s="1" t="str">
        <f>IF(A356&lt;31,"18-30",IF(A356&lt;46,"31-45",IF(A356&lt;61,"46-60","60+")))</f>
        <v>18-30</v>
      </c>
      <c r="I356" t="str">
        <f>IF(C356&lt;18.5,"Underweight",IF(C356&lt;25,"Normal",IF(C356&lt;30,"Overweight","Obese")))</f>
        <v>Obese</v>
      </c>
      <c r="J356">
        <f>IF(E356="yes",1,0)</f>
        <v>0</v>
      </c>
      <c r="K356" t="str">
        <f>IF(G356&gt;15000,"High","Low")</f>
        <v>Low</v>
      </c>
    </row>
    <row r="357" spans="1:11" x14ac:dyDescent="0.35">
      <c r="A357">
        <v>46</v>
      </c>
      <c r="B357" t="s">
        <v>7</v>
      </c>
      <c r="C357">
        <v>27.6</v>
      </c>
      <c r="D357">
        <v>0</v>
      </c>
      <c r="E357" t="s">
        <v>4</v>
      </c>
      <c r="F357" t="s">
        <v>3</v>
      </c>
      <c r="G357" s="2">
        <v>24603.04837</v>
      </c>
      <c r="H357" s="1" t="str">
        <f>IF(A357&lt;31,"18-30",IF(A357&lt;46,"31-45",IF(A357&lt;61,"46-60","60+")))</f>
        <v>46-60</v>
      </c>
      <c r="I357" t="str">
        <f>IF(C357&lt;18.5,"Underweight",IF(C357&lt;25,"Normal",IF(C357&lt;30,"Overweight","Obese")))</f>
        <v>Overweight</v>
      </c>
      <c r="J357">
        <f>IF(E357="yes",1,0)</f>
        <v>0</v>
      </c>
      <c r="K357" t="str">
        <f>IF(G357&gt;15000,"High","Low")</f>
        <v>High</v>
      </c>
    </row>
    <row r="358" spans="1:11" x14ac:dyDescent="0.35">
      <c r="A358">
        <v>46</v>
      </c>
      <c r="B358" t="s">
        <v>7</v>
      </c>
      <c r="C358">
        <v>43.89</v>
      </c>
      <c r="D358">
        <v>3</v>
      </c>
      <c r="E358" t="s">
        <v>4</v>
      </c>
      <c r="F358" t="s">
        <v>5</v>
      </c>
      <c r="G358" s="2">
        <v>8944.1151000000009</v>
      </c>
      <c r="H358" s="1" t="str">
        <f>IF(A358&lt;31,"18-30",IF(A358&lt;46,"31-45",IF(A358&lt;61,"46-60","60+")))</f>
        <v>46-60</v>
      </c>
      <c r="I358" t="str">
        <f>IF(C358&lt;18.5,"Underweight",IF(C358&lt;25,"Normal",IF(C358&lt;30,"Overweight","Obese")))</f>
        <v>Obese</v>
      </c>
      <c r="J358">
        <f>IF(E358="yes",1,0)</f>
        <v>0</v>
      </c>
      <c r="K358" t="str">
        <f>IF(G358&gt;15000,"High","Low")</f>
        <v>Low</v>
      </c>
    </row>
    <row r="359" spans="1:11" x14ac:dyDescent="0.35">
      <c r="A359">
        <v>47</v>
      </c>
      <c r="B359" t="s">
        <v>7</v>
      </c>
      <c r="C359">
        <v>29.83</v>
      </c>
      <c r="D359">
        <v>3</v>
      </c>
      <c r="E359" t="s">
        <v>4</v>
      </c>
      <c r="F359" t="s">
        <v>0</v>
      </c>
      <c r="G359" s="2">
        <v>9620.3307000000004</v>
      </c>
      <c r="H359" s="1" t="str">
        <f>IF(A359&lt;31,"18-30",IF(A359&lt;46,"31-45",IF(A359&lt;61,"46-60","60+")))</f>
        <v>46-60</v>
      </c>
      <c r="I359" t="str">
        <f>IF(C359&lt;18.5,"Underweight",IF(C359&lt;25,"Normal",IF(C359&lt;30,"Overweight","Obese")))</f>
        <v>Overweight</v>
      </c>
      <c r="J359">
        <f>IF(E359="yes",1,0)</f>
        <v>0</v>
      </c>
      <c r="K359" t="str">
        <f>IF(G359&gt;15000,"High","Low")</f>
        <v>Low</v>
      </c>
    </row>
    <row r="360" spans="1:11" x14ac:dyDescent="0.35">
      <c r="A360">
        <v>23</v>
      </c>
      <c r="B360" t="s">
        <v>7</v>
      </c>
      <c r="C360">
        <v>41.91</v>
      </c>
      <c r="D360">
        <v>0</v>
      </c>
      <c r="E360" t="s">
        <v>4</v>
      </c>
      <c r="F360" t="s">
        <v>5</v>
      </c>
      <c r="G360" s="2">
        <v>1837.2819</v>
      </c>
      <c r="H360" s="1" t="str">
        <f>IF(A360&lt;31,"18-30",IF(A360&lt;46,"31-45",IF(A360&lt;61,"46-60","60+")))</f>
        <v>18-30</v>
      </c>
      <c r="I360" t="str">
        <f>IF(C360&lt;18.5,"Underweight",IF(C360&lt;25,"Normal",IF(C360&lt;30,"Overweight","Obese")))</f>
        <v>Obese</v>
      </c>
      <c r="J360">
        <f>IF(E360="yes",1,0)</f>
        <v>0</v>
      </c>
      <c r="K360" t="str">
        <f>IF(G360&gt;15000,"High","Low")</f>
        <v>Low</v>
      </c>
    </row>
    <row r="361" spans="1:11" x14ac:dyDescent="0.35">
      <c r="A361">
        <v>18</v>
      </c>
      <c r="B361" t="s">
        <v>2</v>
      </c>
      <c r="C361">
        <v>20.79</v>
      </c>
      <c r="D361">
        <v>0</v>
      </c>
      <c r="E361" t="s">
        <v>4</v>
      </c>
      <c r="F361" t="s">
        <v>5</v>
      </c>
      <c r="G361" s="2">
        <v>1607.5101</v>
      </c>
      <c r="H361" s="1" t="str">
        <f>IF(A361&lt;31,"18-30",IF(A361&lt;46,"31-45",IF(A361&lt;61,"46-60","60+")))</f>
        <v>18-30</v>
      </c>
      <c r="I361" t="str">
        <f>IF(C361&lt;18.5,"Underweight",IF(C361&lt;25,"Normal",IF(C361&lt;30,"Overweight","Obese")))</f>
        <v>Normal</v>
      </c>
      <c r="J361">
        <f>IF(E361="yes",1,0)</f>
        <v>0</v>
      </c>
      <c r="K361" t="str">
        <f>IF(G361&gt;15000,"High","Low")</f>
        <v>Low</v>
      </c>
    </row>
    <row r="362" spans="1:11" x14ac:dyDescent="0.35">
      <c r="A362">
        <v>48</v>
      </c>
      <c r="B362" t="s">
        <v>2</v>
      </c>
      <c r="C362">
        <v>32.299999999999997</v>
      </c>
      <c r="D362">
        <v>2</v>
      </c>
      <c r="E362" t="s">
        <v>4</v>
      </c>
      <c r="F362" t="s">
        <v>6</v>
      </c>
      <c r="G362" s="2">
        <v>10043.249</v>
      </c>
      <c r="H362" s="1" t="str">
        <f>IF(A362&lt;31,"18-30",IF(A362&lt;46,"31-45",IF(A362&lt;61,"46-60","60+")))</f>
        <v>46-60</v>
      </c>
      <c r="I362" t="str">
        <f>IF(C362&lt;18.5,"Underweight",IF(C362&lt;25,"Normal",IF(C362&lt;30,"Overweight","Obese")))</f>
        <v>Obese</v>
      </c>
      <c r="J362">
        <f>IF(E362="yes",1,0)</f>
        <v>0</v>
      </c>
      <c r="K362" t="str">
        <f>IF(G362&gt;15000,"High","Low")</f>
        <v>Low</v>
      </c>
    </row>
    <row r="363" spans="1:11" x14ac:dyDescent="0.35">
      <c r="A363">
        <v>35</v>
      </c>
      <c r="B363" t="s">
        <v>7</v>
      </c>
      <c r="C363">
        <v>30.5</v>
      </c>
      <c r="D363">
        <v>1</v>
      </c>
      <c r="E363" t="s">
        <v>4</v>
      </c>
      <c r="F363" t="s">
        <v>3</v>
      </c>
      <c r="G363" s="2">
        <v>4751.07</v>
      </c>
      <c r="H363" s="1" t="str">
        <f>IF(A363&lt;31,"18-30",IF(A363&lt;46,"31-45",IF(A363&lt;61,"46-60","60+")))</f>
        <v>31-45</v>
      </c>
      <c r="I363" t="str">
        <f>IF(C363&lt;18.5,"Underweight",IF(C363&lt;25,"Normal",IF(C363&lt;30,"Overweight","Obese")))</f>
        <v>Obese</v>
      </c>
      <c r="J363">
        <f>IF(E363="yes",1,0)</f>
        <v>0</v>
      </c>
      <c r="K363" t="str">
        <f>IF(G363&gt;15000,"High","Low")</f>
        <v>Low</v>
      </c>
    </row>
    <row r="364" spans="1:11" x14ac:dyDescent="0.35">
      <c r="A364">
        <v>19</v>
      </c>
      <c r="B364" t="s">
        <v>2</v>
      </c>
      <c r="C364">
        <v>21.7</v>
      </c>
      <c r="D364">
        <v>0</v>
      </c>
      <c r="E364" t="s">
        <v>1</v>
      </c>
      <c r="F364" t="s">
        <v>3</v>
      </c>
      <c r="G364" s="2">
        <v>13844.505999999999</v>
      </c>
      <c r="H364" s="1" t="str">
        <f>IF(A364&lt;31,"18-30",IF(A364&lt;46,"31-45",IF(A364&lt;61,"46-60","60+")))</f>
        <v>18-30</v>
      </c>
      <c r="I364" t="str">
        <f>IF(C364&lt;18.5,"Underweight",IF(C364&lt;25,"Normal",IF(C364&lt;30,"Overweight","Obese")))</f>
        <v>Normal</v>
      </c>
      <c r="J364">
        <f>IF(E364="yes",1,0)</f>
        <v>1</v>
      </c>
      <c r="K364" t="str">
        <f>IF(G364&gt;15000,"High","Low")</f>
        <v>Low</v>
      </c>
    </row>
    <row r="365" spans="1:11" x14ac:dyDescent="0.35">
      <c r="A365">
        <v>21</v>
      </c>
      <c r="B365" t="s">
        <v>2</v>
      </c>
      <c r="C365">
        <v>26.4</v>
      </c>
      <c r="D365">
        <v>1</v>
      </c>
      <c r="E365" t="s">
        <v>4</v>
      </c>
      <c r="F365" t="s">
        <v>3</v>
      </c>
      <c r="G365" s="2">
        <v>2597.779</v>
      </c>
      <c r="H365" s="1" t="str">
        <f>IF(A365&lt;31,"18-30",IF(A365&lt;46,"31-45",IF(A365&lt;61,"46-60","60+")))</f>
        <v>18-30</v>
      </c>
      <c r="I365" t="str">
        <f>IF(C365&lt;18.5,"Underweight",IF(C365&lt;25,"Normal",IF(C365&lt;30,"Overweight","Obese")))</f>
        <v>Overweight</v>
      </c>
      <c r="J365">
        <f>IF(E365="yes",1,0)</f>
        <v>0</v>
      </c>
      <c r="K365" t="str">
        <f>IF(G365&gt;15000,"High","Low")</f>
        <v>Low</v>
      </c>
    </row>
    <row r="366" spans="1:11" x14ac:dyDescent="0.35">
      <c r="A366">
        <v>21</v>
      </c>
      <c r="B366" t="s">
        <v>2</v>
      </c>
      <c r="C366">
        <v>21.89</v>
      </c>
      <c r="D366">
        <v>2</v>
      </c>
      <c r="E366" t="s">
        <v>4</v>
      </c>
      <c r="F366" t="s">
        <v>5</v>
      </c>
      <c r="G366" s="2">
        <v>3180.5101</v>
      </c>
      <c r="H366" s="1" t="str">
        <f>IF(A366&lt;31,"18-30",IF(A366&lt;46,"31-45",IF(A366&lt;61,"46-60","60+")))</f>
        <v>18-30</v>
      </c>
      <c r="I366" t="str">
        <f>IF(C366&lt;18.5,"Underweight",IF(C366&lt;25,"Normal",IF(C366&lt;30,"Overweight","Obese")))</f>
        <v>Normal</v>
      </c>
      <c r="J366">
        <f>IF(E366="yes",1,0)</f>
        <v>0</v>
      </c>
      <c r="K366" t="str">
        <f>IF(G366&gt;15000,"High","Low")</f>
        <v>Low</v>
      </c>
    </row>
    <row r="367" spans="1:11" x14ac:dyDescent="0.35">
      <c r="A367">
        <v>49</v>
      </c>
      <c r="B367" t="s">
        <v>2</v>
      </c>
      <c r="C367">
        <v>30.78</v>
      </c>
      <c r="D367">
        <v>1</v>
      </c>
      <c r="E367" t="s">
        <v>4</v>
      </c>
      <c r="F367" t="s">
        <v>6</v>
      </c>
      <c r="G367" s="2">
        <v>9778.3472000000002</v>
      </c>
      <c r="H367" s="1" t="str">
        <f>IF(A367&lt;31,"18-30",IF(A367&lt;46,"31-45",IF(A367&lt;61,"46-60","60+")))</f>
        <v>46-60</v>
      </c>
      <c r="I367" t="str">
        <f>IF(C367&lt;18.5,"Underweight",IF(C367&lt;25,"Normal",IF(C367&lt;30,"Overweight","Obese")))</f>
        <v>Obese</v>
      </c>
      <c r="J367">
        <f>IF(E367="yes",1,0)</f>
        <v>0</v>
      </c>
      <c r="K367" t="str">
        <f>IF(G367&gt;15000,"High","Low")</f>
        <v>Low</v>
      </c>
    </row>
    <row r="368" spans="1:11" x14ac:dyDescent="0.35">
      <c r="A368">
        <v>56</v>
      </c>
      <c r="B368" t="s">
        <v>2</v>
      </c>
      <c r="C368">
        <v>32.299999999999997</v>
      </c>
      <c r="D368">
        <v>3</v>
      </c>
      <c r="E368" t="s">
        <v>4</v>
      </c>
      <c r="F368" t="s">
        <v>6</v>
      </c>
      <c r="G368" s="2">
        <v>13430.264999999999</v>
      </c>
      <c r="H368" s="1" t="str">
        <f>IF(A368&lt;31,"18-30",IF(A368&lt;46,"31-45",IF(A368&lt;61,"46-60","60+")))</f>
        <v>46-60</v>
      </c>
      <c r="I368" t="str">
        <f>IF(C368&lt;18.5,"Underweight",IF(C368&lt;25,"Normal",IF(C368&lt;30,"Overweight","Obese")))</f>
        <v>Obese</v>
      </c>
      <c r="J368">
        <f>IF(E368="yes",1,0)</f>
        <v>0</v>
      </c>
      <c r="K368" t="str">
        <f>IF(G368&gt;15000,"High","Low")</f>
        <v>Low</v>
      </c>
    </row>
    <row r="369" spans="1:11" x14ac:dyDescent="0.35">
      <c r="A369">
        <v>42</v>
      </c>
      <c r="B369" t="s">
        <v>2</v>
      </c>
      <c r="C369">
        <v>24.984999999999999</v>
      </c>
      <c r="D369">
        <v>2</v>
      </c>
      <c r="E369" t="s">
        <v>4</v>
      </c>
      <c r="F369" t="s">
        <v>0</v>
      </c>
      <c r="G369" s="2">
        <v>8017.0611500000005</v>
      </c>
      <c r="H369" s="1" t="str">
        <f>IF(A369&lt;31,"18-30",IF(A369&lt;46,"31-45",IF(A369&lt;61,"46-60","60+")))</f>
        <v>31-45</v>
      </c>
      <c r="I369" t="str">
        <f>IF(C369&lt;18.5,"Underweight",IF(C369&lt;25,"Normal",IF(C369&lt;30,"Overweight","Obese")))</f>
        <v>Normal</v>
      </c>
      <c r="J369">
        <f>IF(E369="yes",1,0)</f>
        <v>0</v>
      </c>
      <c r="K369" t="str">
        <f>IF(G369&gt;15000,"High","Low")</f>
        <v>Low</v>
      </c>
    </row>
    <row r="370" spans="1:11" x14ac:dyDescent="0.35">
      <c r="A370">
        <v>44</v>
      </c>
      <c r="B370" t="s">
        <v>7</v>
      </c>
      <c r="C370">
        <v>32.015000000000001</v>
      </c>
      <c r="D370">
        <v>2</v>
      </c>
      <c r="E370" t="s">
        <v>4</v>
      </c>
      <c r="F370" t="s">
        <v>0</v>
      </c>
      <c r="G370" s="2">
        <v>8116.2688500000004</v>
      </c>
      <c r="H370" s="1" t="str">
        <f>IF(A370&lt;31,"18-30",IF(A370&lt;46,"31-45",IF(A370&lt;61,"46-60","60+")))</f>
        <v>31-45</v>
      </c>
      <c r="I370" t="str">
        <f>IF(C370&lt;18.5,"Underweight",IF(C370&lt;25,"Normal",IF(C370&lt;30,"Overweight","Obese")))</f>
        <v>Obese</v>
      </c>
      <c r="J370">
        <f>IF(E370="yes",1,0)</f>
        <v>0</v>
      </c>
      <c r="K370" t="str">
        <f>IF(G370&gt;15000,"High","Low")</f>
        <v>Low</v>
      </c>
    </row>
    <row r="371" spans="1:11" x14ac:dyDescent="0.35">
      <c r="A371">
        <v>18</v>
      </c>
      <c r="B371" t="s">
        <v>7</v>
      </c>
      <c r="C371">
        <v>30.4</v>
      </c>
      <c r="D371">
        <v>3</v>
      </c>
      <c r="E371" t="s">
        <v>4</v>
      </c>
      <c r="F371" t="s">
        <v>6</v>
      </c>
      <c r="G371" s="2">
        <v>3481.8679999999999</v>
      </c>
      <c r="H371" s="1" t="str">
        <f>IF(A371&lt;31,"18-30",IF(A371&lt;46,"31-45",IF(A371&lt;61,"46-60","60+")))</f>
        <v>18-30</v>
      </c>
      <c r="I371" t="str">
        <f>IF(C371&lt;18.5,"Underweight",IF(C371&lt;25,"Normal",IF(C371&lt;30,"Overweight","Obese")))</f>
        <v>Obese</v>
      </c>
      <c r="J371">
        <f>IF(E371="yes",1,0)</f>
        <v>0</v>
      </c>
      <c r="K371" t="str">
        <f>IF(G371&gt;15000,"High","Low")</f>
        <v>Low</v>
      </c>
    </row>
    <row r="372" spans="1:11" x14ac:dyDescent="0.35">
      <c r="A372">
        <v>61</v>
      </c>
      <c r="B372" t="s">
        <v>2</v>
      </c>
      <c r="C372">
        <v>21.09</v>
      </c>
      <c r="D372">
        <v>0</v>
      </c>
      <c r="E372" t="s">
        <v>4</v>
      </c>
      <c r="F372" t="s">
        <v>0</v>
      </c>
      <c r="G372" s="2">
        <v>13415.0381</v>
      </c>
      <c r="H372" s="1" t="str">
        <f>IF(A372&lt;31,"18-30",IF(A372&lt;46,"31-45",IF(A372&lt;61,"46-60","60+")))</f>
        <v>60+</v>
      </c>
      <c r="I372" t="str">
        <f>IF(C372&lt;18.5,"Underweight",IF(C372&lt;25,"Normal",IF(C372&lt;30,"Overweight","Obese")))</f>
        <v>Normal</v>
      </c>
      <c r="J372">
        <f>IF(E372="yes",1,0)</f>
        <v>0</v>
      </c>
      <c r="K372" t="str">
        <f>IF(G372&gt;15000,"High","Low")</f>
        <v>Low</v>
      </c>
    </row>
    <row r="373" spans="1:11" x14ac:dyDescent="0.35">
      <c r="A373">
        <v>57</v>
      </c>
      <c r="B373" t="s">
        <v>2</v>
      </c>
      <c r="C373">
        <v>22.23</v>
      </c>
      <c r="D373">
        <v>0</v>
      </c>
      <c r="E373" t="s">
        <v>4</v>
      </c>
      <c r="F373" t="s">
        <v>6</v>
      </c>
      <c r="G373" s="2">
        <v>12029.286700000001</v>
      </c>
      <c r="H373" s="1" t="str">
        <f>IF(A373&lt;31,"18-30",IF(A373&lt;46,"31-45",IF(A373&lt;61,"46-60","60+")))</f>
        <v>46-60</v>
      </c>
      <c r="I373" t="str">
        <f>IF(C373&lt;18.5,"Underweight",IF(C373&lt;25,"Normal",IF(C373&lt;30,"Overweight","Obese")))</f>
        <v>Normal</v>
      </c>
      <c r="J373">
        <f>IF(E373="yes",1,0)</f>
        <v>0</v>
      </c>
      <c r="K373" t="str">
        <f>IF(G373&gt;15000,"High","Low")</f>
        <v>Low</v>
      </c>
    </row>
    <row r="374" spans="1:11" x14ac:dyDescent="0.35">
      <c r="A374">
        <v>42</v>
      </c>
      <c r="B374" t="s">
        <v>2</v>
      </c>
      <c r="C374">
        <v>33.155000000000001</v>
      </c>
      <c r="D374">
        <v>1</v>
      </c>
      <c r="E374" t="s">
        <v>4</v>
      </c>
      <c r="F374" t="s">
        <v>6</v>
      </c>
      <c r="G374" s="2">
        <v>7639.4174499999999</v>
      </c>
      <c r="H374" s="1" t="str">
        <f>IF(A374&lt;31,"18-30",IF(A374&lt;46,"31-45",IF(A374&lt;61,"46-60","60+")))</f>
        <v>31-45</v>
      </c>
      <c r="I374" t="str">
        <f>IF(C374&lt;18.5,"Underweight",IF(C374&lt;25,"Normal",IF(C374&lt;30,"Overweight","Obese")))</f>
        <v>Obese</v>
      </c>
      <c r="J374">
        <f>IF(E374="yes",1,0)</f>
        <v>0</v>
      </c>
      <c r="K374" t="str">
        <f>IF(G374&gt;15000,"High","Low")</f>
        <v>Low</v>
      </c>
    </row>
    <row r="375" spans="1:11" x14ac:dyDescent="0.35">
      <c r="A375">
        <v>26</v>
      </c>
      <c r="B375" t="s">
        <v>7</v>
      </c>
      <c r="C375">
        <v>32.9</v>
      </c>
      <c r="D375">
        <v>2</v>
      </c>
      <c r="E375" t="s">
        <v>1</v>
      </c>
      <c r="F375" t="s">
        <v>3</v>
      </c>
      <c r="G375" s="2">
        <v>36085.218999999997</v>
      </c>
      <c r="H375" s="1" t="str">
        <f>IF(A375&lt;31,"18-30",IF(A375&lt;46,"31-45",IF(A375&lt;61,"46-60","60+")))</f>
        <v>18-30</v>
      </c>
      <c r="I375" t="str">
        <f>IF(C375&lt;18.5,"Underweight",IF(C375&lt;25,"Normal",IF(C375&lt;30,"Overweight","Obese")))</f>
        <v>Obese</v>
      </c>
      <c r="J375">
        <f>IF(E375="yes",1,0)</f>
        <v>1</v>
      </c>
      <c r="K375" t="str">
        <f>IF(G375&gt;15000,"High","Low")</f>
        <v>High</v>
      </c>
    </row>
    <row r="376" spans="1:11" x14ac:dyDescent="0.35">
      <c r="A376">
        <v>20</v>
      </c>
      <c r="B376" t="s">
        <v>7</v>
      </c>
      <c r="C376">
        <v>33.33</v>
      </c>
      <c r="D376">
        <v>0</v>
      </c>
      <c r="E376" t="s">
        <v>4</v>
      </c>
      <c r="F376" t="s">
        <v>5</v>
      </c>
      <c r="G376" s="2">
        <v>1391.5287000000001</v>
      </c>
      <c r="H376" s="1" t="str">
        <f>IF(A376&lt;31,"18-30",IF(A376&lt;46,"31-45",IF(A376&lt;61,"46-60","60+")))</f>
        <v>18-30</v>
      </c>
      <c r="I376" t="str">
        <f>IF(C376&lt;18.5,"Underweight",IF(C376&lt;25,"Normal",IF(C376&lt;30,"Overweight","Obese")))</f>
        <v>Obese</v>
      </c>
      <c r="J376">
        <f>IF(E376="yes",1,0)</f>
        <v>0</v>
      </c>
      <c r="K376" t="str">
        <f>IF(G376&gt;15000,"High","Low")</f>
        <v>Low</v>
      </c>
    </row>
    <row r="377" spans="1:11" x14ac:dyDescent="0.35">
      <c r="A377">
        <v>23</v>
      </c>
      <c r="B377" t="s">
        <v>2</v>
      </c>
      <c r="C377">
        <v>28.31</v>
      </c>
      <c r="D377">
        <v>0</v>
      </c>
      <c r="E377" t="s">
        <v>1</v>
      </c>
      <c r="F377" t="s">
        <v>0</v>
      </c>
      <c r="G377" s="2">
        <v>18033.9679</v>
      </c>
      <c r="H377" s="1" t="str">
        <f>IF(A377&lt;31,"18-30",IF(A377&lt;46,"31-45",IF(A377&lt;61,"46-60","60+")))</f>
        <v>18-30</v>
      </c>
      <c r="I377" t="str">
        <f>IF(C377&lt;18.5,"Underweight",IF(C377&lt;25,"Normal",IF(C377&lt;30,"Overweight","Obese")))</f>
        <v>Overweight</v>
      </c>
      <c r="J377">
        <f>IF(E377="yes",1,0)</f>
        <v>1</v>
      </c>
      <c r="K377" t="str">
        <f>IF(G377&gt;15000,"High","Low")</f>
        <v>High</v>
      </c>
    </row>
    <row r="378" spans="1:11" x14ac:dyDescent="0.35">
      <c r="A378">
        <v>39</v>
      </c>
      <c r="B378" t="s">
        <v>2</v>
      </c>
      <c r="C378">
        <v>24.89</v>
      </c>
      <c r="D378">
        <v>3</v>
      </c>
      <c r="E378" t="s">
        <v>1</v>
      </c>
      <c r="F378" t="s">
        <v>6</v>
      </c>
      <c r="G378" s="2">
        <v>21659.930100000001</v>
      </c>
      <c r="H378" s="1" t="str">
        <f>IF(A378&lt;31,"18-30",IF(A378&lt;46,"31-45",IF(A378&lt;61,"46-60","60+")))</f>
        <v>31-45</v>
      </c>
      <c r="I378" t="str">
        <f>IF(C378&lt;18.5,"Underweight",IF(C378&lt;25,"Normal",IF(C378&lt;30,"Overweight","Obese")))</f>
        <v>Normal</v>
      </c>
      <c r="J378">
        <f>IF(E378="yes",1,0)</f>
        <v>1</v>
      </c>
      <c r="K378" t="str">
        <f>IF(G378&gt;15000,"High","Low")</f>
        <v>High</v>
      </c>
    </row>
    <row r="379" spans="1:11" x14ac:dyDescent="0.35">
      <c r="A379">
        <v>24</v>
      </c>
      <c r="B379" t="s">
        <v>7</v>
      </c>
      <c r="C379">
        <v>40.15</v>
      </c>
      <c r="D379">
        <v>0</v>
      </c>
      <c r="E379" t="s">
        <v>1</v>
      </c>
      <c r="F379" t="s">
        <v>5</v>
      </c>
      <c r="G379" s="2">
        <v>38126.246500000001</v>
      </c>
      <c r="H379" s="1" t="str">
        <f>IF(A379&lt;31,"18-30",IF(A379&lt;46,"31-45",IF(A379&lt;61,"46-60","60+")))</f>
        <v>18-30</v>
      </c>
      <c r="I379" t="str">
        <f>IF(C379&lt;18.5,"Underweight",IF(C379&lt;25,"Normal",IF(C379&lt;30,"Overweight","Obese")))</f>
        <v>Obese</v>
      </c>
      <c r="J379">
        <f>IF(E379="yes",1,0)</f>
        <v>1</v>
      </c>
      <c r="K379" t="str">
        <f>IF(G379&gt;15000,"High","Low")</f>
        <v>High</v>
      </c>
    </row>
    <row r="380" spans="1:11" x14ac:dyDescent="0.35">
      <c r="A380">
        <v>64</v>
      </c>
      <c r="B380" t="s">
        <v>2</v>
      </c>
      <c r="C380">
        <v>30.114999999999998</v>
      </c>
      <c r="D380">
        <v>3</v>
      </c>
      <c r="E380" t="s">
        <v>4</v>
      </c>
      <c r="F380" t="s">
        <v>0</v>
      </c>
      <c r="G380" s="2">
        <v>16455.707849999999</v>
      </c>
      <c r="H380" s="1" t="str">
        <f>IF(A380&lt;31,"18-30",IF(A380&lt;46,"31-45",IF(A380&lt;61,"46-60","60+")))</f>
        <v>60+</v>
      </c>
      <c r="I380" t="str">
        <f>IF(C380&lt;18.5,"Underweight",IF(C380&lt;25,"Normal",IF(C380&lt;30,"Overweight","Obese")))</f>
        <v>Obese</v>
      </c>
      <c r="J380">
        <f>IF(E380="yes",1,0)</f>
        <v>0</v>
      </c>
      <c r="K380" t="str">
        <f>IF(G380&gt;15000,"High","Low")</f>
        <v>High</v>
      </c>
    </row>
    <row r="381" spans="1:11" x14ac:dyDescent="0.35">
      <c r="A381">
        <v>62</v>
      </c>
      <c r="B381" t="s">
        <v>7</v>
      </c>
      <c r="C381">
        <v>31.46</v>
      </c>
      <c r="D381">
        <v>1</v>
      </c>
      <c r="E381" t="s">
        <v>4</v>
      </c>
      <c r="F381" t="s">
        <v>5</v>
      </c>
      <c r="G381" s="2">
        <v>27000.98473</v>
      </c>
      <c r="H381" s="1" t="str">
        <f>IF(A381&lt;31,"18-30",IF(A381&lt;46,"31-45",IF(A381&lt;61,"46-60","60+")))</f>
        <v>60+</v>
      </c>
      <c r="I381" t="str">
        <f>IF(C381&lt;18.5,"Underweight",IF(C381&lt;25,"Normal",IF(C381&lt;30,"Overweight","Obese")))</f>
        <v>Obese</v>
      </c>
      <c r="J381">
        <f>IF(E381="yes",1,0)</f>
        <v>0</v>
      </c>
      <c r="K381" t="str">
        <f>IF(G381&gt;15000,"High","Low")</f>
        <v>High</v>
      </c>
    </row>
    <row r="382" spans="1:11" x14ac:dyDescent="0.35">
      <c r="A382">
        <v>27</v>
      </c>
      <c r="B382" t="s">
        <v>2</v>
      </c>
      <c r="C382">
        <v>17.954999999999998</v>
      </c>
      <c r="D382">
        <v>2</v>
      </c>
      <c r="E382" t="s">
        <v>1</v>
      </c>
      <c r="F382" t="s">
        <v>6</v>
      </c>
      <c r="G382" s="2">
        <v>15006.579449999999</v>
      </c>
      <c r="H382" s="1" t="str">
        <f>IF(A382&lt;31,"18-30",IF(A382&lt;46,"31-45",IF(A382&lt;61,"46-60","60+")))</f>
        <v>18-30</v>
      </c>
      <c r="I382" t="str">
        <f>IF(C382&lt;18.5,"Underweight",IF(C382&lt;25,"Normal",IF(C382&lt;30,"Overweight","Obese")))</f>
        <v>Underweight</v>
      </c>
      <c r="J382">
        <f>IF(E382="yes",1,0)</f>
        <v>1</v>
      </c>
      <c r="K382" t="str">
        <f>IF(G382&gt;15000,"High","Low")</f>
        <v>High</v>
      </c>
    </row>
    <row r="383" spans="1:11" x14ac:dyDescent="0.35">
      <c r="A383">
        <v>55</v>
      </c>
      <c r="B383" t="s">
        <v>7</v>
      </c>
      <c r="C383">
        <v>30.684999999999999</v>
      </c>
      <c r="D383">
        <v>0</v>
      </c>
      <c r="E383" t="s">
        <v>1</v>
      </c>
      <c r="F383" t="s">
        <v>6</v>
      </c>
      <c r="G383" s="2">
        <v>42303.692150000003</v>
      </c>
      <c r="H383" s="1" t="str">
        <f>IF(A383&lt;31,"18-30",IF(A383&lt;46,"31-45",IF(A383&lt;61,"46-60","60+")))</f>
        <v>46-60</v>
      </c>
      <c r="I383" t="str">
        <f>IF(C383&lt;18.5,"Underweight",IF(C383&lt;25,"Normal",IF(C383&lt;30,"Overweight","Obese")))</f>
        <v>Obese</v>
      </c>
      <c r="J383">
        <f>IF(E383="yes",1,0)</f>
        <v>1</v>
      </c>
      <c r="K383" t="str">
        <f>IF(G383&gt;15000,"High","Low")</f>
        <v>High</v>
      </c>
    </row>
    <row r="384" spans="1:11" x14ac:dyDescent="0.35">
      <c r="A384">
        <v>55</v>
      </c>
      <c r="B384" t="s">
        <v>7</v>
      </c>
      <c r="C384">
        <v>33</v>
      </c>
      <c r="D384">
        <v>0</v>
      </c>
      <c r="E384" t="s">
        <v>4</v>
      </c>
      <c r="F384" t="s">
        <v>5</v>
      </c>
      <c r="G384" s="2">
        <v>20781.48892</v>
      </c>
      <c r="H384" s="1" t="str">
        <f>IF(A384&lt;31,"18-30",IF(A384&lt;46,"31-45",IF(A384&lt;61,"46-60","60+")))</f>
        <v>46-60</v>
      </c>
      <c r="I384" t="str">
        <f>IF(C384&lt;18.5,"Underweight",IF(C384&lt;25,"Normal",IF(C384&lt;30,"Overweight","Obese")))</f>
        <v>Obese</v>
      </c>
      <c r="J384">
        <f>IF(E384="yes",1,0)</f>
        <v>0</v>
      </c>
      <c r="K384" t="str">
        <f>IF(G384&gt;15000,"High","Low")</f>
        <v>High</v>
      </c>
    </row>
    <row r="385" spans="1:11" x14ac:dyDescent="0.35">
      <c r="A385">
        <v>35</v>
      </c>
      <c r="B385" t="s">
        <v>2</v>
      </c>
      <c r="C385">
        <v>43.34</v>
      </c>
      <c r="D385">
        <v>2</v>
      </c>
      <c r="E385" t="s">
        <v>4</v>
      </c>
      <c r="F385" t="s">
        <v>5</v>
      </c>
      <c r="G385" s="2">
        <v>5846.9175999999998</v>
      </c>
      <c r="H385" s="1" t="str">
        <f>IF(A385&lt;31,"18-30",IF(A385&lt;46,"31-45",IF(A385&lt;61,"46-60","60+")))</f>
        <v>31-45</v>
      </c>
      <c r="I385" t="str">
        <f>IF(C385&lt;18.5,"Underweight",IF(C385&lt;25,"Normal",IF(C385&lt;30,"Overweight","Obese")))</f>
        <v>Obese</v>
      </c>
      <c r="J385">
        <f>IF(E385="yes",1,0)</f>
        <v>0</v>
      </c>
      <c r="K385" t="str">
        <f>IF(G385&gt;15000,"High","Low")</f>
        <v>Low</v>
      </c>
    </row>
    <row r="386" spans="1:11" x14ac:dyDescent="0.35">
      <c r="A386">
        <v>44</v>
      </c>
      <c r="B386" t="s">
        <v>7</v>
      </c>
      <c r="C386">
        <v>22.135000000000002</v>
      </c>
      <c r="D386">
        <v>2</v>
      </c>
      <c r="E386" t="s">
        <v>4</v>
      </c>
      <c r="F386" t="s">
        <v>6</v>
      </c>
      <c r="G386" s="2">
        <v>8302.5356499999998</v>
      </c>
      <c r="H386" s="1" t="str">
        <f>IF(A386&lt;31,"18-30",IF(A386&lt;46,"31-45",IF(A386&lt;61,"46-60","60+")))</f>
        <v>31-45</v>
      </c>
      <c r="I386" t="str">
        <f>IF(C386&lt;18.5,"Underweight",IF(C386&lt;25,"Normal",IF(C386&lt;30,"Overweight","Obese")))</f>
        <v>Normal</v>
      </c>
      <c r="J386">
        <f>IF(E386="yes",1,0)</f>
        <v>0</v>
      </c>
      <c r="K386" t="str">
        <f>IF(G386&gt;15000,"High","Low")</f>
        <v>Low</v>
      </c>
    </row>
    <row r="387" spans="1:11" x14ac:dyDescent="0.35">
      <c r="A387">
        <v>19</v>
      </c>
      <c r="B387" t="s">
        <v>7</v>
      </c>
      <c r="C387">
        <v>34.4</v>
      </c>
      <c r="D387">
        <v>0</v>
      </c>
      <c r="E387" t="s">
        <v>4</v>
      </c>
      <c r="F387" t="s">
        <v>3</v>
      </c>
      <c r="G387" s="2">
        <v>1261.8589999999999</v>
      </c>
      <c r="H387" s="1" t="str">
        <f>IF(A387&lt;31,"18-30",IF(A387&lt;46,"31-45",IF(A387&lt;61,"46-60","60+")))</f>
        <v>18-30</v>
      </c>
      <c r="I387" t="str">
        <f>IF(C387&lt;18.5,"Underweight",IF(C387&lt;25,"Normal",IF(C387&lt;30,"Overweight","Obese")))</f>
        <v>Obese</v>
      </c>
      <c r="J387">
        <f>IF(E387="yes",1,0)</f>
        <v>0</v>
      </c>
      <c r="K387" t="str">
        <f>IF(G387&gt;15000,"High","Low")</f>
        <v>Low</v>
      </c>
    </row>
    <row r="388" spans="1:11" x14ac:dyDescent="0.35">
      <c r="A388">
        <v>58</v>
      </c>
      <c r="B388" t="s">
        <v>2</v>
      </c>
      <c r="C388">
        <v>39.049999999999997</v>
      </c>
      <c r="D388">
        <v>0</v>
      </c>
      <c r="E388" t="s">
        <v>4</v>
      </c>
      <c r="F388" t="s">
        <v>5</v>
      </c>
      <c r="G388" s="2">
        <v>11856.4115</v>
      </c>
      <c r="H388" s="1" t="str">
        <f>IF(A388&lt;31,"18-30",IF(A388&lt;46,"31-45",IF(A388&lt;61,"46-60","60+")))</f>
        <v>46-60</v>
      </c>
      <c r="I388" t="str">
        <f>IF(C388&lt;18.5,"Underweight",IF(C388&lt;25,"Normal",IF(C388&lt;30,"Overweight","Obese")))</f>
        <v>Obese</v>
      </c>
      <c r="J388">
        <f>IF(E388="yes",1,0)</f>
        <v>0</v>
      </c>
      <c r="K388" t="str">
        <f>IF(G388&gt;15000,"High","Low")</f>
        <v>Low</v>
      </c>
    </row>
    <row r="389" spans="1:11" x14ac:dyDescent="0.35">
      <c r="A389">
        <v>50</v>
      </c>
      <c r="B389" t="s">
        <v>7</v>
      </c>
      <c r="C389">
        <v>25.364999999999998</v>
      </c>
      <c r="D389">
        <v>2</v>
      </c>
      <c r="E389" t="s">
        <v>4</v>
      </c>
      <c r="F389" t="s">
        <v>0</v>
      </c>
      <c r="G389" s="2">
        <v>30284.642940000002</v>
      </c>
      <c r="H389" s="1" t="str">
        <f>IF(A389&lt;31,"18-30",IF(A389&lt;46,"31-45",IF(A389&lt;61,"46-60","60+")))</f>
        <v>46-60</v>
      </c>
      <c r="I389" t="str">
        <f>IF(C389&lt;18.5,"Underweight",IF(C389&lt;25,"Normal",IF(C389&lt;30,"Overweight","Obese")))</f>
        <v>Overweight</v>
      </c>
      <c r="J389">
        <f>IF(E389="yes",1,0)</f>
        <v>0</v>
      </c>
      <c r="K389" t="str">
        <f>IF(G389&gt;15000,"High","Low")</f>
        <v>High</v>
      </c>
    </row>
    <row r="390" spans="1:11" x14ac:dyDescent="0.35">
      <c r="A390">
        <v>26</v>
      </c>
      <c r="B390" t="s">
        <v>2</v>
      </c>
      <c r="C390">
        <v>22.61</v>
      </c>
      <c r="D390">
        <v>0</v>
      </c>
      <c r="E390" t="s">
        <v>4</v>
      </c>
      <c r="F390" t="s">
        <v>0</v>
      </c>
      <c r="G390" s="2">
        <v>3176.8159000000001</v>
      </c>
      <c r="H390" s="1" t="str">
        <f>IF(A390&lt;31,"18-30",IF(A390&lt;46,"31-45",IF(A390&lt;61,"46-60","60+")))</f>
        <v>18-30</v>
      </c>
      <c r="I390" t="str">
        <f>IF(C390&lt;18.5,"Underweight",IF(C390&lt;25,"Normal",IF(C390&lt;30,"Overweight","Obese")))</f>
        <v>Normal</v>
      </c>
      <c r="J390">
        <f>IF(E390="yes",1,0)</f>
        <v>0</v>
      </c>
      <c r="K390" t="str">
        <f>IF(G390&gt;15000,"High","Low")</f>
        <v>Low</v>
      </c>
    </row>
    <row r="391" spans="1:11" x14ac:dyDescent="0.35">
      <c r="A391">
        <v>24</v>
      </c>
      <c r="B391" t="s">
        <v>2</v>
      </c>
      <c r="C391">
        <v>30.21</v>
      </c>
      <c r="D391">
        <v>3</v>
      </c>
      <c r="E391" t="s">
        <v>4</v>
      </c>
      <c r="F391" t="s">
        <v>0</v>
      </c>
      <c r="G391" s="2">
        <v>4618.0798999999997</v>
      </c>
      <c r="H391" s="1" t="str">
        <f>IF(A391&lt;31,"18-30",IF(A391&lt;46,"31-45",IF(A391&lt;61,"46-60","60+")))</f>
        <v>18-30</v>
      </c>
      <c r="I391" t="str">
        <f>IF(C391&lt;18.5,"Underweight",IF(C391&lt;25,"Normal",IF(C391&lt;30,"Overweight","Obese")))</f>
        <v>Obese</v>
      </c>
      <c r="J391">
        <f>IF(E391="yes",1,0)</f>
        <v>0</v>
      </c>
      <c r="K391" t="str">
        <f>IF(G391&gt;15000,"High","Low")</f>
        <v>Low</v>
      </c>
    </row>
    <row r="392" spans="1:11" x14ac:dyDescent="0.35">
      <c r="A392">
        <v>48</v>
      </c>
      <c r="B392" t="s">
        <v>7</v>
      </c>
      <c r="C392">
        <v>35.625</v>
      </c>
      <c r="D392">
        <v>4</v>
      </c>
      <c r="E392" t="s">
        <v>4</v>
      </c>
      <c r="F392" t="s">
        <v>6</v>
      </c>
      <c r="G392" s="2">
        <v>10736.87075</v>
      </c>
      <c r="H392" s="1" t="str">
        <f>IF(A392&lt;31,"18-30",IF(A392&lt;46,"31-45",IF(A392&lt;61,"46-60","60+")))</f>
        <v>46-60</v>
      </c>
      <c r="I392" t="str">
        <f>IF(C392&lt;18.5,"Underweight",IF(C392&lt;25,"Normal",IF(C392&lt;30,"Overweight","Obese")))</f>
        <v>Obese</v>
      </c>
      <c r="J392">
        <f>IF(E392="yes",1,0)</f>
        <v>0</v>
      </c>
      <c r="K392" t="str">
        <f>IF(G392&gt;15000,"High","Low")</f>
        <v>Low</v>
      </c>
    </row>
    <row r="393" spans="1:11" x14ac:dyDescent="0.35">
      <c r="A393">
        <v>19</v>
      </c>
      <c r="B393" t="s">
        <v>2</v>
      </c>
      <c r="C393">
        <v>37.43</v>
      </c>
      <c r="D393">
        <v>0</v>
      </c>
      <c r="E393" t="s">
        <v>4</v>
      </c>
      <c r="F393" t="s">
        <v>0</v>
      </c>
      <c r="G393" s="2">
        <v>2138.0707000000002</v>
      </c>
      <c r="H393" s="1" t="str">
        <f>IF(A393&lt;31,"18-30",IF(A393&lt;46,"31-45",IF(A393&lt;61,"46-60","60+")))</f>
        <v>18-30</v>
      </c>
      <c r="I393" t="str">
        <f>IF(C393&lt;18.5,"Underweight",IF(C393&lt;25,"Normal",IF(C393&lt;30,"Overweight","Obese")))</f>
        <v>Obese</v>
      </c>
      <c r="J393">
        <f>IF(E393="yes",1,0)</f>
        <v>0</v>
      </c>
      <c r="K393" t="str">
        <f>IF(G393&gt;15000,"High","Low")</f>
        <v>Low</v>
      </c>
    </row>
    <row r="394" spans="1:11" x14ac:dyDescent="0.35">
      <c r="A394">
        <v>48</v>
      </c>
      <c r="B394" t="s">
        <v>7</v>
      </c>
      <c r="C394">
        <v>31.445</v>
      </c>
      <c r="D394">
        <v>1</v>
      </c>
      <c r="E394" t="s">
        <v>4</v>
      </c>
      <c r="F394" t="s">
        <v>6</v>
      </c>
      <c r="G394" s="2">
        <v>8964.0605500000001</v>
      </c>
      <c r="H394" s="1" t="str">
        <f>IF(A394&lt;31,"18-30",IF(A394&lt;46,"31-45",IF(A394&lt;61,"46-60","60+")))</f>
        <v>46-60</v>
      </c>
      <c r="I394" t="str">
        <f>IF(C394&lt;18.5,"Underweight",IF(C394&lt;25,"Normal",IF(C394&lt;30,"Overweight","Obese")))</f>
        <v>Obese</v>
      </c>
      <c r="J394">
        <f>IF(E394="yes",1,0)</f>
        <v>0</v>
      </c>
      <c r="K394" t="str">
        <f>IF(G394&gt;15000,"High","Low")</f>
        <v>Low</v>
      </c>
    </row>
    <row r="395" spans="1:11" x14ac:dyDescent="0.35">
      <c r="A395">
        <v>49</v>
      </c>
      <c r="B395" t="s">
        <v>7</v>
      </c>
      <c r="C395">
        <v>31.35</v>
      </c>
      <c r="D395">
        <v>1</v>
      </c>
      <c r="E395" t="s">
        <v>4</v>
      </c>
      <c r="F395" t="s">
        <v>6</v>
      </c>
      <c r="G395" s="2">
        <v>9290.1394999999993</v>
      </c>
      <c r="H395" s="1" t="str">
        <f>IF(A395&lt;31,"18-30",IF(A395&lt;46,"31-45",IF(A395&lt;61,"46-60","60+")))</f>
        <v>46-60</v>
      </c>
      <c r="I395" t="str">
        <f>IF(C395&lt;18.5,"Underweight",IF(C395&lt;25,"Normal",IF(C395&lt;30,"Overweight","Obese")))</f>
        <v>Obese</v>
      </c>
      <c r="J395">
        <f>IF(E395="yes",1,0)</f>
        <v>0</v>
      </c>
      <c r="K395" t="str">
        <f>IF(G395&gt;15000,"High","Low")</f>
        <v>Low</v>
      </c>
    </row>
    <row r="396" spans="1:11" x14ac:dyDescent="0.35">
      <c r="A396">
        <v>46</v>
      </c>
      <c r="B396" t="s">
        <v>2</v>
      </c>
      <c r="C396">
        <v>32.299999999999997</v>
      </c>
      <c r="D396">
        <v>2</v>
      </c>
      <c r="E396" t="s">
        <v>4</v>
      </c>
      <c r="F396" t="s">
        <v>6</v>
      </c>
      <c r="G396" s="2">
        <v>9411.0049999999992</v>
      </c>
      <c r="H396" s="1" t="str">
        <f>IF(A396&lt;31,"18-30",IF(A396&lt;46,"31-45",IF(A396&lt;61,"46-60","60+")))</f>
        <v>46-60</v>
      </c>
      <c r="I396" t="str">
        <f>IF(C396&lt;18.5,"Underweight",IF(C396&lt;25,"Normal",IF(C396&lt;30,"Overweight","Obese")))</f>
        <v>Obese</v>
      </c>
      <c r="J396">
        <f>IF(E396="yes",1,0)</f>
        <v>0</v>
      </c>
      <c r="K396" t="str">
        <f>IF(G396&gt;15000,"High","Low")</f>
        <v>Low</v>
      </c>
    </row>
    <row r="397" spans="1:11" x14ac:dyDescent="0.35">
      <c r="A397">
        <v>46</v>
      </c>
      <c r="B397" t="s">
        <v>7</v>
      </c>
      <c r="C397">
        <v>19.855</v>
      </c>
      <c r="D397">
        <v>0</v>
      </c>
      <c r="E397" t="s">
        <v>4</v>
      </c>
      <c r="F397" t="s">
        <v>0</v>
      </c>
      <c r="G397" s="2">
        <v>7526.7064499999997</v>
      </c>
      <c r="H397" s="1" t="str">
        <f>IF(A397&lt;31,"18-30",IF(A397&lt;46,"31-45",IF(A397&lt;61,"46-60","60+")))</f>
        <v>46-60</v>
      </c>
      <c r="I397" t="str">
        <f>IF(C397&lt;18.5,"Underweight",IF(C397&lt;25,"Normal",IF(C397&lt;30,"Overweight","Obese")))</f>
        <v>Normal</v>
      </c>
      <c r="J397">
        <f>IF(E397="yes",1,0)</f>
        <v>0</v>
      </c>
      <c r="K397" t="str">
        <f>IF(G397&gt;15000,"High","Low")</f>
        <v>Low</v>
      </c>
    </row>
    <row r="398" spans="1:11" x14ac:dyDescent="0.35">
      <c r="A398">
        <v>43</v>
      </c>
      <c r="B398" t="s">
        <v>2</v>
      </c>
      <c r="C398">
        <v>34.4</v>
      </c>
      <c r="D398">
        <v>3</v>
      </c>
      <c r="E398" t="s">
        <v>4</v>
      </c>
      <c r="F398" t="s">
        <v>3</v>
      </c>
      <c r="G398" s="2">
        <v>8522.0030000000006</v>
      </c>
      <c r="H398" s="1" t="str">
        <f>IF(A398&lt;31,"18-30",IF(A398&lt;46,"31-45",IF(A398&lt;61,"46-60","60+")))</f>
        <v>31-45</v>
      </c>
      <c r="I398" t="str">
        <f>IF(C398&lt;18.5,"Underweight",IF(C398&lt;25,"Normal",IF(C398&lt;30,"Overweight","Obese")))</f>
        <v>Obese</v>
      </c>
      <c r="J398">
        <f>IF(E398="yes",1,0)</f>
        <v>0</v>
      </c>
      <c r="K398" t="str">
        <f>IF(G398&gt;15000,"High","Low")</f>
        <v>Low</v>
      </c>
    </row>
    <row r="399" spans="1:11" x14ac:dyDescent="0.35">
      <c r="A399">
        <v>21</v>
      </c>
      <c r="B399" t="s">
        <v>7</v>
      </c>
      <c r="C399">
        <v>31.02</v>
      </c>
      <c r="D399">
        <v>0</v>
      </c>
      <c r="E399" t="s">
        <v>4</v>
      </c>
      <c r="F399" t="s">
        <v>5</v>
      </c>
      <c r="G399" s="2">
        <v>16586.49771</v>
      </c>
      <c r="H399" s="1" t="str">
        <f>IF(A399&lt;31,"18-30",IF(A399&lt;46,"31-45",IF(A399&lt;61,"46-60","60+")))</f>
        <v>18-30</v>
      </c>
      <c r="I399" t="str">
        <f>IF(C399&lt;18.5,"Underweight",IF(C399&lt;25,"Normal",IF(C399&lt;30,"Overweight","Obese")))</f>
        <v>Obese</v>
      </c>
      <c r="J399">
        <f>IF(E399="yes",1,0)</f>
        <v>0</v>
      </c>
      <c r="K399" t="str">
        <f>IF(G399&gt;15000,"High","Low")</f>
        <v>High</v>
      </c>
    </row>
    <row r="400" spans="1:11" x14ac:dyDescent="0.35">
      <c r="A400">
        <v>64</v>
      </c>
      <c r="B400" t="s">
        <v>7</v>
      </c>
      <c r="C400">
        <v>25.6</v>
      </c>
      <c r="D400">
        <v>2</v>
      </c>
      <c r="E400" t="s">
        <v>4</v>
      </c>
      <c r="F400" t="s">
        <v>3</v>
      </c>
      <c r="G400" s="2">
        <v>14988.432000000001</v>
      </c>
      <c r="H400" s="1" t="str">
        <f>IF(A400&lt;31,"18-30",IF(A400&lt;46,"31-45",IF(A400&lt;61,"46-60","60+")))</f>
        <v>60+</v>
      </c>
      <c r="I400" t="str">
        <f>IF(C400&lt;18.5,"Underweight",IF(C400&lt;25,"Normal",IF(C400&lt;30,"Overweight","Obese")))</f>
        <v>Overweight</v>
      </c>
      <c r="J400">
        <f>IF(E400="yes",1,0)</f>
        <v>0</v>
      </c>
      <c r="K400" t="str">
        <f>IF(G400&gt;15000,"High","Low")</f>
        <v>Low</v>
      </c>
    </row>
    <row r="401" spans="1:11" x14ac:dyDescent="0.35">
      <c r="A401">
        <v>18</v>
      </c>
      <c r="B401" t="s">
        <v>2</v>
      </c>
      <c r="C401">
        <v>38.17</v>
      </c>
      <c r="D401">
        <v>0</v>
      </c>
      <c r="E401" t="s">
        <v>4</v>
      </c>
      <c r="F401" t="s">
        <v>5</v>
      </c>
      <c r="G401" s="2">
        <v>1631.6683</v>
      </c>
      <c r="H401" s="1" t="str">
        <f>IF(A401&lt;31,"18-30",IF(A401&lt;46,"31-45",IF(A401&lt;61,"46-60","60+")))</f>
        <v>18-30</v>
      </c>
      <c r="I401" t="str">
        <f>IF(C401&lt;18.5,"Underweight",IF(C401&lt;25,"Normal",IF(C401&lt;30,"Overweight","Obese")))</f>
        <v>Obese</v>
      </c>
      <c r="J401">
        <f>IF(E401="yes",1,0)</f>
        <v>0</v>
      </c>
      <c r="K401" t="str">
        <f>IF(G401&gt;15000,"High","Low")</f>
        <v>Low</v>
      </c>
    </row>
    <row r="402" spans="1:11" x14ac:dyDescent="0.35">
      <c r="A402">
        <v>51</v>
      </c>
      <c r="B402" t="s">
        <v>2</v>
      </c>
      <c r="C402">
        <v>20.6</v>
      </c>
      <c r="D402">
        <v>0</v>
      </c>
      <c r="E402" t="s">
        <v>4</v>
      </c>
      <c r="F402" t="s">
        <v>3</v>
      </c>
      <c r="G402" s="2">
        <v>9264.7970000000005</v>
      </c>
      <c r="H402" s="1" t="str">
        <f>IF(A402&lt;31,"18-30",IF(A402&lt;46,"31-45",IF(A402&lt;61,"46-60","60+")))</f>
        <v>46-60</v>
      </c>
      <c r="I402" t="str">
        <f>IF(C402&lt;18.5,"Underweight",IF(C402&lt;25,"Normal",IF(C402&lt;30,"Overweight","Obese")))</f>
        <v>Normal</v>
      </c>
      <c r="J402">
        <f>IF(E402="yes",1,0)</f>
        <v>0</v>
      </c>
      <c r="K402" t="str">
        <f>IF(G402&gt;15000,"High","Low")</f>
        <v>Low</v>
      </c>
    </row>
    <row r="403" spans="1:11" x14ac:dyDescent="0.35">
      <c r="A403">
        <v>47</v>
      </c>
      <c r="B403" t="s">
        <v>7</v>
      </c>
      <c r="C403">
        <v>47.52</v>
      </c>
      <c r="D403">
        <v>1</v>
      </c>
      <c r="E403" t="s">
        <v>4</v>
      </c>
      <c r="F403" t="s">
        <v>5</v>
      </c>
      <c r="G403" s="2">
        <v>8083.9197999999997</v>
      </c>
      <c r="H403" s="1" t="str">
        <f>IF(A403&lt;31,"18-30",IF(A403&lt;46,"31-45",IF(A403&lt;61,"46-60","60+")))</f>
        <v>46-60</v>
      </c>
      <c r="I403" t="str">
        <f>IF(C403&lt;18.5,"Underweight",IF(C403&lt;25,"Normal",IF(C403&lt;30,"Overweight","Obese")))</f>
        <v>Obese</v>
      </c>
      <c r="J403">
        <f>IF(E403="yes",1,0)</f>
        <v>0</v>
      </c>
      <c r="K403" t="str">
        <f>IF(G403&gt;15000,"High","Low")</f>
        <v>Low</v>
      </c>
    </row>
    <row r="404" spans="1:11" x14ac:dyDescent="0.35">
      <c r="A404">
        <v>64</v>
      </c>
      <c r="B404" t="s">
        <v>2</v>
      </c>
      <c r="C404">
        <v>32.965000000000003</v>
      </c>
      <c r="D404">
        <v>0</v>
      </c>
      <c r="E404" t="s">
        <v>4</v>
      </c>
      <c r="F404" t="s">
        <v>0</v>
      </c>
      <c r="G404" s="2">
        <v>14692.66935</v>
      </c>
      <c r="H404" s="1" t="str">
        <f>IF(A404&lt;31,"18-30",IF(A404&lt;46,"31-45",IF(A404&lt;61,"46-60","60+")))</f>
        <v>60+</v>
      </c>
      <c r="I404" t="str">
        <f>IF(C404&lt;18.5,"Underweight",IF(C404&lt;25,"Normal",IF(C404&lt;30,"Overweight","Obese")))</f>
        <v>Obese</v>
      </c>
      <c r="J404">
        <f>IF(E404="yes",1,0)</f>
        <v>0</v>
      </c>
      <c r="K404" t="str">
        <f>IF(G404&gt;15000,"High","Low")</f>
        <v>Low</v>
      </c>
    </row>
    <row r="405" spans="1:11" x14ac:dyDescent="0.35">
      <c r="A405">
        <v>49</v>
      </c>
      <c r="B405" t="s">
        <v>7</v>
      </c>
      <c r="C405">
        <v>32.299999999999997</v>
      </c>
      <c r="D405">
        <v>3</v>
      </c>
      <c r="E405" t="s">
        <v>4</v>
      </c>
      <c r="F405" t="s">
        <v>0</v>
      </c>
      <c r="G405" s="2">
        <v>10269.459999999999</v>
      </c>
      <c r="H405" s="1" t="str">
        <f>IF(A405&lt;31,"18-30",IF(A405&lt;46,"31-45",IF(A405&lt;61,"46-60","60+")))</f>
        <v>46-60</v>
      </c>
      <c r="I405" t="str">
        <f>IF(C405&lt;18.5,"Underweight",IF(C405&lt;25,"Normal",IF(C405&lt;30,"Overweight","Obese")))</f>
        <v>Obese</v>
      </c>
      <c r="J405">
        <f>IF(E405="yes",1,0)</f>
        <v>0</v>
      </c>
      <c r="K405" t="str">
        <f>IF(G405&gt;15000,"High","Low")</f>
        <v>Low</v>
      </c>
    </row>
    <row r="406" spans="1:11" x14ac:dyDescent="0.35">
      <c r="A406">
        <v>31</v>
      </c>
      <c r="B406" t="s">
        <v>7</v>
      </c>
      <c r="C406">
        <v>20.399999999999999</v>
      </c>
      <c r="D406">
        <v>0</v>
      </c>
      <c r="E406" t="s">
        <v>4</v>
      </c>
      <c r="F406" t="s">
        <v>3</v>
      </c>
      <c r="G406" s="2">
        <v>3260.1990000000001</v>
      </c>
      <c r="H406" s="1" t="str">
        <f>IF(A406&lt;31,"18-30",IF(A406&lt;46,"31-45",IF(A406&lt;61,"46-60","60+")))</f>
        <v>31-45</v>
      </c>
      <c r="I406" t="str">
        <f>IF(C406&lt;18.5,"Underweight",IF(C406&lt;25,"Normal",IF(C406&lt;30,"Overweight","Obese")))</f>
        <v>Normal</v>
      </c>
      <c r="J406">
        <f>IF(E406="yes",1,0)</f>
        <v>0</v>
      </c>
      <c r="K406" t="str">
        <f>IF(G406&gt;15000,"High","Low")</f>
        <v>Low</v>
      </c>
    </row>
    <row r="407" spans="1:11" x14ac:dyDescent="0.35">
      <c r="A407">
        <v>52</v>
      </c>
      <c r="B407" t="s">
        <v>2</v>
      </c>
      <c r="C407">
        <v>38.380000000000003</v>
      </c>
      <c r="D407">
        <v>2</v>
      </c>
      <c r="E407" t="s">
        <v>4</v>
      </c>
      <c r="F407" t="s">
        <v>6</v>
      </c>
      <c r="G407" s="2">
        <v>11396.9002</v>
      </c>
      <c r="H407" s="1" t="str">
        <f>IF(A407&lt;31,"18-30",IF(A407&lt;46,"31-45",IF(A407&lt;61,"46-60","60+")))</f>
        <v>46-60</v>
      </c>
      <c r="I407" t="str">
        <f>IF(C407&lt;18.5,"Underweight",IF(C407&lt;25,"Normal",IF(C407&lt;30,"Overweight","Obese")))</f>
        <v>Obese</v>
      </c>
      <c r="J407">
        <f>IF(E407="yes",1,0)</f>
        <v>0</v>
      </c>
      <c r="K407" t="str">
        <f>IF(G407&gt;15000,"High","Low")</f>
        <v>Low</v>
      </c>
    </row>
    <row r="408" spans="1:11" x14ac:dyDescent="0.35">
      <c r="A408">
        <v>33</v>
      </c>
      <c r="B408" t="s">
        <v>2</v>
      </c>
      <c r="C408">
        <v>24.31</v>
      </c>
      <c r="D408">
        <v>0</v>
      </c>
      <c r="E408" t="s">
        <v>4</v>
      </c>
      <c r="F408" t="s">
        <v>5</v>
      </c>
      <c r="G408" s="2">
        <v>4185.0978999999998</v>
      </c>
      <c r="H408" s="1" t="str">
        <f>IF(A408&lt;31,"18-30",IF(A408&lt;46,"31-45",IF(A408&lt;61,"46-60","60+")))</f>
        <v>31-45</v>
      </c>
      <c r="I408" t="str">
        <f>IF(C408&lt;18.5,"Underweight",IF(C408&lt;25,"Normal",IF(C408&lt;30,"Overweight","Obese")))</f>
        <v>Normal</v>
      </c>
      <c r="J408">
        <f>IF(E408="yes",1,0)</f>
        <v>0</v>
      </c>
      <c r="K408" t="str">
        <f>IF(G408&gt;15000,"High","Low")</f>
        <v>Low</v>
      </c>
    </row>
    <row r="409" spans="1:11" x14ac:dyDescent="0.35">
      <c r="A409">
        <v>47</v>
      </c>
      <c r="B409" t="s">
        <v>2</v>
      </c>
      <c r="C409">
        <v>23.6</v>
      </c>
      <c r="D409">
        <v>1</v>
      </c>
      <c r="E409" t="s">
        <v>4</v>
      </c>
      <c r="F409" t="s">
        <v>3</v>
      </c>
      <c r="G409" s="2">
        <v>8539.6710000000003</v>
      </c>
      <c r="H409" s="1" t="str">
        <f>IF(A409&lt;31,"18-30",IF(A409&lt;46,"31-45",IF(A409&lt;61,"46-60","60+")))</f>
        <v>46-60</v>
      </c>
      <c r="I409" t="str">
        <f>IF(C409&lt;18.5,"Underweight",IF(C409&lt;25,"Normal",IF(C409&lt;30,"Overweight","Obese")))</f>
        <v>Normal</v>
      </c>
      <c r="J409">
        <f>IF(E409="yes",1,0)</f>
        <v>0</v>
      </c>
      <c r="K409" t="str">
        <f>IF(G409&gt;15000,"High","Low")</f>
        <v>Low</v>
      </c>
    </row>
    <row r="410" spans="1:11" x14ac:dyDescent="0.35">
      <c r="A410">
        <v>38</v>
      </c>
      <c r="B410" t="s">
        <v>7</v>
      </c>
      <c r="C410">
        <v>21.12</v>
      </c>
      <c r="D410">
        <v>3</v>
      </c>
      <c r="E410" t="s">
        <v>4</v>
      </c>
      <c r="F410" t="s">
        <v>5</v>
      </c>
      <c r="G410" s="2">
        <v>6652.5288</v>
      </c>
      <c r="H410" s="1" t="str">
        <f>IF(A410&lt;31,"18-30",IF(A410&lt;46,"31-45",IF(A410&lt;61,"46-60","60+")))</f>
        <v>31-45</v>
      </c>
      <c r="I410" t="str">
        <f>IF(C410&lt;18.5,"Underweight",IF(C410&lt;25,"Normal",IF(C410&lt;30,"Overweight","Obese")))</f>
        <v>Normal</v>
      </c>
      <c r="J410">
        <f>IF(E410="yes",1,0)</f>
        <v>0</v>
      </c>
      <c r="K410" t="str">
        <f>IF(G410&gt;15000,"High","Low")</f>
        <v>Low</v>
      </c>
    </row>
    <row r="411" spans="1:11" x14ac:dyDescent="0.35">
      <c r="A411">
        <v>32</v>
      </c>
      <c r="B411" t="s">
        <v>7</v>
      </c>
      <c r="C411">
        <v>30.03</v>
      </c>
      <c r="D411">
        <v>1</v>
      </c>
      <c r="E411" t="s">
        <v>4</v>
      </c>
      <c r="F411" t="s">
        <v>5</v>
      </c>
      <c r="G411" s="2">
        <v>4074.4537</v>
      </c>
      <c r="H411" s="1" t="str">
        <f>IF(A411&lt;31,"18-30",IF(A411&lt;46,"31-45",IF(A411&lt;61,"46-60","60+")))</f>
        <v>31-45</v>
      </c>
      <c r="I411" t="str">
        <f>IF(C411&lt;18.5,"Underweight",IF(C411&lt;25,"Normal",IF(C411&lt;30,"Overweight","Obese")))</f>
        <v>Obese</v>
      </c>
      <c r="J411">
        <f>IF(E411="yes",1,0)</f>
        <v>0</v>
      </c>
      <c r="K411" t="str">
        <f>IF(G411&gt;15000,"High","Low")</f>
        <v>Low</v>
      </c>
    </row>
    <row r="412" spans="1:11" x14ac:dyDescent="0.35">
      <c r="A412">
        <v>19</v>
      </c>
      <c r="B412" t="s">
        <v>7</v>
      </c>
      <c r="C412">
        <v>17.48</v>
      </c>
      <c r="D412">
        <v>0</v>
      </c>
      <c r="E412" t="s">
        <v>4</v>
      </c>
      <c r="F412" t="s">
        <v>0</v>
      </c>
      <c r="G412" s="2">
        <v>1621.3402000000001</v>
      </c>
      <c r="H412" s="1" t="str">
        <f>IF(A412&lt;31,"18-30",IF(A412&lt;46,"31-45",IF(A412&lt;61,"46-60","60+")))</f>
        <v>18-30</v>
      </c>
      <c r="I412" t="str">
        <f>IF(C412&lt;18.5,"Underweight",IF(C412&lt;25,"Normal",IF(C412&lt;30,"Overweight","Obese")))</f>
        <v>Underweight</v>
      </c>
      <c r="J412">
        <f>IF(E412="yes",1,0)</f>
        <v>0</v>
      </c>
      <c r="K412" t="str">
        <f>IF(G412&gt;15000,"High","Low")</f>
        <v>Low</v>
      </c>
    </row>
    <row r="413" spans="1:11" x14ac:dyDescent="0.35">
      <c r="A413">
        <v>44</v>
      </c>
      <c r="B413" t="s">
        <v>2</v>
      </c>
      <c r="C413">
        <v>20.234999999999999</v>
      </c>
      <c r="D413">
        <v>1</v>
      </c>
      <c r="E413" t="s">
        <v>1</v>
      </c>
      <c r="F413" t="s">
        <v>6</v>
      </c>
      <c r="G413" s="2">
        <v>19594.809649999999</v>
      </c>
      <c r="H413" s="1" t="str">
        <f>IF(A413&lt;31,"18-30",IF(A413&lt;46,"31-45",IF(A413&lt;61,"46-60","60+")))</f>
        <v>31-45</v>
      </c>
      <c r="I413" t="str">
        <f>IF(C413&lt;18.5,"Underweight",IF(C413&lt;25,"Normal",IF(C413&lt;30,"Overweight","Obese")))</f>
        <v>Normal</v>
      </c>
      <c r="J413">
        <f>IF(E413="yes",1,0)</f>
        <v>1</v>
      </c>
      <c r="K413" t="str">
        <f>IF(G413&gt;15000,"High","Low")</f>
        <v>High</v>
      </c>
    </row>
    <row r="414" spans="1:11" x14ac:dyDescent="0.35">
      <c r="A414">
        <v>26</v>
      </c>
      <c r="B414" t="s">
        <v>2</v>
      </c>
      <c r="C414">
        <v>17.195</v>
      </c>
      <c r="D414">
        <v>2</v>
      </c>
      <c r="E414" t="s">
        <v>1</v>
      </c>
      <c r="F414" t="s">
        <v>6</v>
      </c>
      <c r="G414" s="2">
        <v>14455.644050000001</v>
      </c>
      <c r="H414" s="1" t="str">
        <f>IF(A414&lt;31,"18-30",IF(A414&lt;46,"31-45",IF(A414&lt;61,"46-60","60+")))</f>
        <v>18-30</v>
      </c>
      <c r="I414" t="str">
        <f>IF(C414&lt;18.5,"Underweight",IF(C414&lt;25,"Normal",IF(C414&lt;30,"Overweight","Obese")))</f>
        <v>Underweight</v>
      </c>
      <c r="J414">
        <f>IF(E414="yes",1,0)</f>
        <v>1</v>
      </c>
      <c r="K414" t="str">
        <f>IF(G414&gt;15000,"High","Low")</f>
        <v>Low</v>
      </c>
    </row>
    <row r="415" spans="1:11" x14ac:dyDescent="0.35">
      <c r="A415">
        <v>25</v>
      </c>
      <c r="B415" t="s">
        <v>7</v>
      </c>
      <c r="C415">
        <v>23.9</v>
      </c>
      <c r="D415">
        <v>5</v>
      </c>
      <c r="E415" t="s">
        <v>4</v>
      </c>
      <c r="F415" t="s">
        <v>3</v>
      </c>
      <c r="G415" s="2">
        <v>5080.0959999999995</v>
      </c>
      <c r="H415" s="1" t="str">
        <f>IF(A415&lt;31,"18-30",IF(A415&lt;46,"31-45",IF(A415&lt;61,"46-60","60+")))</f>
        <v>18-30</v>
      </c>
      <c r="I415" t="str">
        <f>IF(C415&lt;18.5,"Underweight",IF(C415&lt;25,"Normal",IF(C415&lt;30,"Overweight","Obese")))</f>
        <v>Normal</v>
      </c>
      <c r="J415">
        <f>IF(E415="yes",1,0)</f>
        <v>0</v>
      </c>
      <c r="K415" t="str">
        <f>IF(G415&gt;15000,"High","Low")</f>
        <v>Low</v>
      </c>
    </row>
    <row r="416" spans="1:11" x14ac:dyDescent="0.35">
      <c r="A416">
        <v>19</v>
      </c>
      <c r="B416" t="s">
        <v>2</v>
      </c>
      <c r="C416">
        <v>35.15</v>
      </c>
      <c r="D416">
        <v>0</v>
      </c>
      <c r="E416" t="s">
        <v>4</v>
      </c>
      <c r="F416" t="s">
        <v>0</v>
      </c>
      <c r="G416" s="2">
        <v>2134.9014999999999</v>
      </c>
      <c r="H416" s="1" t="str">
        <f>IF(A416&lt;31,"18-30",IF(A416&lt;46,"31-45",IF(A416&lt;61,"46-60","60+")))</f>
        <v>18-30</v>
      </c>
      <c r="I416" t="str">
        <f>IF(C416&lt;18.5,"Underweight",IF(C416&lt;25,"Normal",IF(C416&lt;30,"Overweight","Obese")))</f>
        <v>Obese</v>
      </c>
      <c r="J416">
        <f>IF(E416="yes",1,0)</f>
        <v>0</v>
      </c>
      <c r="K416" t="str">
        <f>IF(G416&gt;15000,"High","Low")</f>
        <v>Low</v>
      </c>
    </row>
    <row r="417" spans="1:11" x14ac:dyDescent="0.35">
      <c r="A417">
        <v>43</v>
      </c>
      <c r="B417" t="s">
        <v>2</v>
      </c>
      <c r="C417">
        <v>35.64</v>
      </c>
      <c r="D417">
        <v>1</v>
      </c>
      <c r="E417" t="s">
        <v>4</v>
      </c>
      <c r="F417" t="s">
        <v>5</v>
      </c>
      <c r="G417" s="2">
        <v>7345.7266</v>
      </c>
      <c r="H417" s="1" t="str">
        <f>IF(A417&lt;31,"18-30",IF(A417&lt;46,"31-45",IF(A417&lt;61,"46-60","60+")))</f>
        <v>31-45</v>
      </c>
      <c r="I417" t="str">
        <f>IF(C417&lt;18.5,"Underweight",IF(C417&lt;25,"Normal",IF(C417&lt;30,"Overweight","Obese")))</f>
        <v>Obese</v>
      </c>
      <c r="J417">
        <f>IF(E417="yes",1,0)</f>
        <v>0</v>
      </c>
      <c r="K417" t="str">
        <f>IF(G417&gt;15000,"High","Low")</f>
        <v>Low</v>
      </c>
    </row>
    <row r="418" spans="1:11" x14ac:dyDescent="0.35">
      <c r="A418">
        <v>52</v>
      </c>
      <c r="B418" t="s">
        <v>7</v>
      </c>
      <c r="C418">
        <v>34.1</v>
      </c>
      <c r="D418">
        <v>0</v>
      </c>
      <c r="E418" t="s">
        <v>4</v>
      </c>
      <c r="F418" t="s">
        <v>5</v>
      </c>
      <c r="G418" s="2">
        <v>9140.9509999999991</v>
      </c>
      <c r="H418" s="1" t="str">
        <f>IF(A418&lt;31,"18-30",IF(A418&lt;46,"31-45",IF(A418&lt;61,"46-60","60+")))</f>
        <v>46-60</v>
      </c>
      <c r="I418" t="str">
        <f>IF(C418&lt;18.5,"Underweight",IF(C418&lt;25,"Normal",IF(C418&lt;30,"Overweight","Obese")))</f>
        <v>Obese</v>
      </c>
      <c r="J418">
        <f>IF(E418="yes",1,0)</f>
        <v>0</v>
      </c>
      <c r="K418" t="str">
        <f>IF(G418&gt;15000,"High","Low")</f>
        <v>Low</v>
      </c>
    </row>
    <row r="419" spans="1:11" x14ac:dyDescent="0.35">
      <c r="A419">
        <v>36</v>
      </c>
      <c r="B419" t="s">
        <v>2</v>
      </c>
      <c r="C419">
        <v>22.6</v>
      </c>
      <c r="D419">
        <v>2</v>
      </c>
      <c r="E419" t="s">
        <v>1</v>
      </c>
      <c r="F419" t="s">
        <v>3</v>
      </c>
      <c r="G419" s="2">
        <v>18608.261999999999</v>
      </c>
      <c r="H419" s="1" t="str">
        <f>IF(A419&lt;31,"18-30",IF(A419&lt;46,"31-45",IF(A419&lt;61,"46-60","60+")))</f>
        <v>31-45</v>
      </c>
      <c r="I419" t="str">
        <f>IF(C419&lt;18.5,"Underweight",IF(C419&lt;25,"Normal",IF(C419&lt;30,"Overweight","Obese")))</f>
        <v>Normal</v>
      </c>
      <c r="J419">
        <f>IF(E419="yes",1,0)</f>
        <v>1</v>
      </c>
      <c r="K419" t="str">
        <f>IF(G419&gt;15000,"High","Low")</f>
        <v>High</v>
      </c>
    </row>
    <row r="420" spans="1:11" x14ac:dyDescent="0.35">
      <c r="A420">
        <v>64</v>
      </c>
      <c r="B420" t="s">
        <v>7</v>
      </c>
      <c r="C420">
        <v>39.159999999999997</v>
      </c>
      <c r="D420">
        <v>1</v>
      </c>
      <c r="E420" t="s">
        <v>4</v>
      </c>
      <c r="F420" t="s">
        <v>5</v>
      </c>
      <c r="G420" s="2">
        <v>14418.2804</v>
      </c>
      <c r="H420" s="1" t="str">
        <f>IF(A420&lt;31,"18-30",IF(A420&lt;46,"31-45",IF(A420&lt;61,"46-60","60+")))</f>
        <v>60+</v>
      </c>
      <c r="I420" t="str">
        <f>IF(C420&lt;18.5,"Underweight",IF(C420&lt;25,"Normal",IF(C420&lt;30,"Overweight","Obese")))</f>
        <v>Obese</v>
      </c>
      <c r="J420">
        <f>IF(E420="yes",1,0)</f>
        <v>0</v>
      </c>
      <c r="K420" t="str">
        <f>IF(G420&gt;15000,"High","Low")</f>
        <v>Low</v>
      </c>
    </row>
    <row r="421" spans="1:11" x14ac:dyDescent="0.35">
      <c r="A421">
        <v>63</v>
      </c>
      <c r="B421" t="s">
        <v>2</v>
      </c>
      <c r="C421">
        <v>26.98</v>
      </c>
      <c r="D421">
        <v>0</v>
      </c>
      <c r="E421" t="s">
        <v>1</v>
      </c>
      <c r="F421" t="s">
        <v>0</v>
      </c>
      <c r="G421" s="2">
        <v>28950.4692</v>
      </c>
      <c r="H421" s="1" t="str">
        <f>IF(A421&lt;31,"18-30",IF(A421&lt;46,"31-45",IF(A421&lt;61,"46-60","60+")))</f>
        <v>60+</v>
      </c>
      <c r="I421" t="str">
        <f>IF(C421&lt;18.5,"Underweight",IF(C421&lt;25,"Normal",IF(C421&lt;30,"Overweight","Obese")))</f>
        <v>Overweight</v>
      </c>
      <c r="J421">
        <f>IF(E421="yes",1,0)</f>
        <v>1</v>
      </c>
      <c r="K421" t="str">
        <f>IF(G421&gt;15000,"High","Low")</f>
        <v>High</v>
      </c>
    </row>
    <row r="422" spans="1:11" x14ac:dyDescent="0.35">
      <c r="A422">
        <v>64</v>
      </c>
      <c r="B422" t="s">
        <v>7</v>
      </c>
      <c r="C422">
        <v>33.880000000000003</v>
      </c>
      <c r="D422">
        <v>0</v>
      </c>
      <c r="E422" t="s">
        <v>1</v>
      </c>
      <c r="F422" t="s">
        <v>5</v>
      </c>
      <c r="G422" s="2">
        <v>46889.261200000001</v>
      </c>
      <c r="H422" s="1" t="str">
        <f>IF(A422&lt;31,"18-30",IF(A422&lt;46,"31-45",IF(A422&lt;61,"46-60","60+")))</f>
        <v>60+</v>
      </c>
      <c r="I422" t="str">
        <f>IF(C422&lt;18.5,"Underweight",IF(C422&lt;25,"Normal",IF(C422&lt;30,"Overweight","Obese")))</f>
        <v>Obese</v>
      </c>
      <c r="J422">
        <f>IF(E422="yes",1,0)</f>
        <v>1</v>
      </c>
      <c r="K422" t="str">
        <f>IF(G422&gt;15000,"High","Low")</f>
        <v>High</v>
      </c>
    </row>
    <row r="423" spans="1:11" x14ac:dyDescent="0.35">
      <c r="A423">
        <v>61</v>
      </c>
      <c r="B423" t="s">
        <v>7</v>
      </c>
      <c r="C423">
        <v>35.86</v>
      </c>
      <c r="D423">
        <v>0</v>
      </c>
      <c r="E423" t="s">
        <v>1</v>
      </c>
      <c r="F423" t="s">
        <v>5</v>
      </c>
      <c r="G423" s="2">
        <v>46599.108399999997</v>
      </c>
      <c r="H423" s="1" t="str">
        <f>IF(A423&lt;31,"18-30",IF(A423&lt;46,"31-45",IF(A423&lt;61,"46-60","60+")))</f>
        <v>60+</v>
      </c>
      <c r="I423" t="str">
        <f>IF(C423&lt;18.5,"Underweight",IF(C423&lt;25,"Normal",IF(C423&lt;30,"Overweight","Obese")))</f>
        <v>Obese</v>
      </c>
      <c r="J423">
        <f>IF(E423="yes",1,0)</f>
        <v>1</v>
      </c>
      <c r="K423" t="str">
        <f>IF(G423&gt;15000,"High","Low")</f>
        <v>High</v>
      </c>
    </row>
    <row r="424" spans="1:11" x14ac:dyDescent="0.35">
      <c r="A424">
        <v>40</v>
      </c>
      <c r="B424" t="s">
        <v>7</v>
      </c>
      <c r="C424">
        <v>32.774999999999999</v>
      </c>
      <c r="D424">
        <v>1</v>
      </c>
      <c r="E424" t="s">
        <v>1</v>
      </c>
      <c r="F424" t="s">
        <v>6</v>
      </c>
      <c r="G424" s="2">
        <v>39125.332249999999</v>
      </c>
      <c r="H424" s="1" t="str">
        <f>IF(A424&lt;31,"18-30",IF(A424&lt;46,"31-45",IF(A424&lt;61,"46-60","60+")))</f>
        <v>31-45</v>
      </c>
      <c r="I424" t="str">
        <f>IF(C424&lt;18.5,"Underweight",IF(C424&lt;25,"Normal",IF(C424&lt;30,"Overweight","Obese")))</f>
        <v>Obese</v>
      </c>
      <c r="J424">
        <f>IF(E424="yes",1,0)</f>
        <v>1</v>
      </c>
      <c r="K424" t="str">
        <f>IF(G424&gt;15000,"High","Low")</f>
        <v>High</v>
      </c>
    </row>
    <row r="425" spans="1:11" x14ac:dyDescent="0.35">
      <c r="A425">
        <v>25</v>
      </c>
      <c r="B425" t="s">
        <v>7</v>
      </c>
      <c r="C425">
        <v>30.59</v>
      </c>
      <c r="D425">
        <v>0</v>
      </c>
      <c r="E425" t="s">
        <v>4</v>
      </c>
      <c r="F425" t="s">
        <v>6</v>
      </c>
      <c r="G425" s="2">
        <v>2727.3951000000002</v>
      </c>
      <c r="H425" s="1" t="str">
        <f>IF(A425&lt;31,"18-30",IF(A425&lt;46,"31-45",IF(A425&lt;61,"46-60","60+")))</f>
        <v>18-30</v>
      </c>
      <c r="I425" t="str">
        <f>IF(C425&lt;18.5,"Underweight",IF(C425&lt;25,"Normal",IF(C425&lt;30,"Overweight","Obese")))</f>
        <v>Obese</v>
      </c>
      <c r="J425">
        <f>IF(E425="yes",1,0)</f>
        <v>0</v>
      </c>
      <c r="K425" t="str">
        <f>IF(G425&gt;15000,"High","Low")</f>
        <v>Low</v>
      </c>
    </row>
    <row r="426" spans="1:11" x14ac:dyDescent="0.35">
      <c r="A426">
        <v>48</v>
      </c>
      <c r="B426" t="s">
        <v>7</v>
      </c>
      <c r="C426">
        <v>30.2</v>
      </c>
      <c r="D426">
        <v>2</v>
      </c>
      <c r="E426" t="s">
        <v>4</v>
      </c>
      <c r="F426" t="s">
        <v>3</v>
      </c>
      <c r="G426" s="2">
        <v>8968.33</v>
      </c>
      <c r="H426" s="1" t="str">
        <f>IF(A426&lt;31,"18-30",IF(A426&lt;46,"31-45",IF(A426&lt;61,"46-60","60+")))</f>
        <v>46-60</v>
      </c>
      <c r="I426" t="str">
        <f>IF(C426&lt;18.5,"Underweight",IF(C426&lt;25,"Normal",IF(C426&lt;30,"Overweight","Obese")))</f>
        <v>Obese</v>
      </c>
      <c r="J426">
        <f>IF(E426="yes",1,0)</f>
        <v>0</v>
      </c>
      <c r="K426" t="str">
        <f>IF(G426&gt;15000,"High","Low")</f>
        <v>Low</v>
      </c>
    </row>
    <row r="427" spans="1:11" x14ac:dyDescent="0.35">
      <c r="A427">
        <v>45</v>
      </c>
      <c r="B427" t="s">
        <v>7</v>
      </c>
      <c r="C427">
        <v>24.31</v>
      </c>
      <c r="D427">
        <v>5</v>
      </c>
      <c r="E427" t="s">
        <v>4</v>
      </c>
      <c r="F427" t="s">
        <v>5</v>
      </c>
      <c r="G427" s="2">
        <v>9788.8659000000007</v>
      </c>
      <c r="H427" s="1" t="str">
        <f>IF(A427&lt;31,"18-30",IF(A427&lt;46,"31-45",IF(A427&lt;61,"46-60","60+")))</f>
        <v>31-45</v>
      </c>
      <c r="I427" t="str">
        <f>IF(C427&lt;18.5,"Underweight",IF(C427&lt;25,"Normal",IF(C427&lt;30,"Overweight","Obese")))</f>
        <v>Normal</v>
      </c>
      <c r="J427">
        <f>IF(E427="yes",1,0)</f>
        <v>0</v>
      </c>
      <c r="K427" t="str">
        <f>IF(G427&gt;15000,"High","Low")</f>
        <v>Low</v>
      </c>
    </row>
    <row r="428" spans="1:11" x14ac:dyDescent="0.35">
      <c r="A428">
        <v>38</v>
      </c>
      <c r="B428" t="s">
        <v>2</v>
      </c>
      <c r="C428">
        <v>27.265000000000001</v>
      </c>
      <c r="D428">
        <v>1</v>
      </c>
      <c r="E428" t="s">
        <v>4</v>
      </c>
      <c r="F428" t="s">
        <v>6</v>
      </c>
      <c r="G428" s="2">
        <v>6555.07035</v>
      </c>
      <c r="H428" s="1" t="str">
        <f>IF(A428&lt;31,"18-30",IF(A428&lt;46,"31-45",IF(A428&lt;61,"46-60","60+")))</f>
        <v>31-45</v>
      </c>
      <c r="I428" t="str">
        <f>IF(C428&lt;18.5,"Underweight",IF(C428&lt;25,"Normal",IF(C428&lt;30,"Overweight","Obese")))</f>
        <v>Overweight</v>
      </c>
      <c r="J428">
        <f>IF(E428="yes",1,0)</f>
        <v>0</v>
      </c>
      <c r="K428" t="str">
        <f>IF(G428&gt;15000,"High","Low")</f>
        <v>Low</v>
      </c>
    </row>
    <row r="429" spans="1:11" x14ac:dyDescent="0.35">
      <c r="A429">
        <v>18</v>
      </c>
      <c r="B429" t="s">
        <v>2</v>
      </c>
      <c r="C429">
        <v>29.164999999999999</v>
      </c>
      <c r="D429">
        <v>0</v>
      </c>
      <c r="E429" t="s">
        <v>4</v>
      </c>
      <c r="F429" t="s">
        <v>6</v>
      </c>
      <c r="G429" s="2">
        <v>7323.7348190000002</v>
      </c>
      <c r="H429" s="1" t="str">
        <f>IF(A429&lt;31,"18-30",IF(A429&lt;46,"31-45",IF(A429&lt;61,"46-60","60+")))</f>
        <v>18-30</v>
      </c>
      <c r="I429" t="str">
        <f>IF(C429&lt;18.5,"Underweight",IF(C429&lt;25,"Normal",IF(C429&lt;30,"Overweight","Obese")))</f>
        <v>Overweight</v>
      </c>
      <c r="J429">
        <f>IF(E429="yes",1,0)</f>
        <v>0</v>
      </c>
      <c r="K429" t="str">
        <f>IF(G429&gt;15000,"High","Low")</f>
        <v>Low</v>
      </c>
    </row>
    <row r="430" spans="1:11" x14ac:dyDescent="0.35">
      <c r="A430">
        <v>21</v>
      </c>
      <c r="B430" t="s">
        <v>2</v>
      </c>
      <c r="C430">
        <v>16.815000000000001</v>
      </c>
      <c r="D430">
        <v>1</v>
      </c>
      <c r="E430" t="s">
        <v>4</v>
      </c>
      <c r="F430" t="s">
        <v>6</v>
      </c>
      <c r="G430" s="2">
        <v>3167.4558499999998</v>
      </c>
      <c r="H430" s="1" t="str">
        <f>IF(A430&lt;31,"18-30",IF(A430&lt;46,"31-45",IF(A430&lt;61,"46-60","60+")))</f>
        <v>18-30</v>
      </c>
      <c r="I430" t="str">
        <f>IF(C430&lt;18.5,"Underweight",IF(C430&lt;25,"Normal",IF(C430&lt;30,"Overweight","Obese")))</f>
        <v>Underweight</v>
      </c>
      <c r="J430">
        <f>IF(E430="yes",1,0)</f>
        <v>0</v>
      </c>
      <c r="K430" t="str">
        <f>IF(G430&gt;15000,"High","Low")</f>
        <v>Low</v>
      </c>
    </row>
    <row r="431" spans="1:11" x14ac:dyDescent="0.35">
      <c r="A431">
        <v>27</v>
      </c>
      <c r="B431" t="s">
        <v>2</v>
      </c>
      <c r="C431">
        <v>30.4</v>
      </c>
      <c r="D431">
        <v>3</v>
      </c>
      <c r="E431" t="s">
        <v>4</v>
      </c>
      <c r="F431" t="s">
        <v>0</v>
      </c>
      <c r="G431" s="2">
        <v>18804.752400000001</v>
      </c>
      <c r="H431" s="1" t="str">
        <f>IF(A431&lt;31,"18-30",IF(A431&lt;46,"31-45",IF(A431&lt;61,"46-60","60+")))</f>
        <v>18-30</v>
      </c>
      <c r="I431" t="str">
        <f>IF(C431&lt;18.5,"Underweight",IF(C431&lt;25,"Normal",IF(C431&lt;30,"Overweight","Obese")))</f>
        <v>Obese</v>
      </c>
      <c r="J431">
        <f>IF(E431="yes",1,0)</f>
        <v>0</v>
      </c>
      <c r="K431" t="str">
        <f>IF(G431&gt;15000,"High","Low")</f>
        <v>High</v>
      </c>
    </row>
    <row r="432" spans="1:11" x14ac:dyDescent="0.35">
      <c r="A432">
        <v>19</v>
      </c>
      <c r="B432" t="s">
        <v>7</v>
      </c>
      <c r="C432">
        <v>33.1</v>
      </c>
      <c r="D432">
        <v>0</v>
      </c>
      <c r="E432" t="s">
        <v>4</v>
      </c>
      <c r="F432" t="s">
        <v>3</v>
      </c>
      <c r="G432" s="2">
        <v>23082.955330000001</v>
      </c>
      <c r="H432" s="1" t="str">
        <f>IF(A432&lt;31,"18-30",IF(A432&lt;46,"31-45",IF(A432&lt;61,"46-60","60+")))</f>
        <v>18-30</v>
      </c>
      <c r="I432" t="str">
        <f>IF(C432&lt;18.5,"Underweight",IF(C432&lt;25,"Normal",IF(C432&lt;30,"Overweight","Obese")))</f>
        <v>Obese</v>
      </c>
      <c r="J432">
        <f>IF(E432="yes",1,0)</f>
        <v>0</v>
      </c>
      <c r="K432" t="str">
        <f>IF(G432&gt;15000,"High","Low")</f>
        <v>High</v>
      </c>
    </row>
    <row r="433" spans="1:11" x14ac:dyDescent="0.35">
      <c r="A433">
        <v>29</v>
      </c>
      <c r="B433" t="s">
        <v>2</v>
      </c>
      <c r="C433">
        <v>20.234999999999999</v>
      </c>
      <c r="D433">
        <v>2</v>
      </c>
      <c r="E433" t="s">
        <v>4</v>
      </c>
      <c r="F433" t="s">
        <v>0</v>
      </c>
      <c r="G433" s="2">
        <v>4906.4096499999996</v>
      </c>
      <c r="H433" s="1" t="str">
        <f>IF(A433&lt;31,"18-30",IF(A433&lt;46,"31-45",IF(A433&lt;61,"46-60","60+")))</f>
        <v>18-30</v>
      </c>
      <c r="I433" t="str">
        <f>IF(C433&lt;18.5,"Underweight",IF(C433&lt;25,"Normal",IF(C433&lt;30,"Overweight","Obese")))</f>
        <v>Normal</v>
      </c>
      <c r="J433">
        <f>IF(E433="yes",1,0)</f>
        <v>0</v>
      </c>
      <c r="K433" t="str">
        <f>IF(G433&gt;15000,"High","Low")</f>
        <v>Low</v>
      </c>
    </row>
    <row r="434" spans="1:11" x14ac:dyDescent="0.35">
      <c r="A434">
        <v>42</v>
      </c>
      <c r="B434" t="s">
        <v>7</v>
      </c>
      <c r="C434">
        <v>26.9</v>
      </c>
      <c r="D434">
        <v>0</v>
      </c>
      <c r="E434" t="s">
        <v>4</v>
      </c>
      <c r="F434" t="s">
        <v>3</v>
      </c>
      <c r="G434" s="2">
        <v>5969.723</v>
      </c>
      <c r="H434" s="1" t="str">
        <f>IF(A434&lt;31,"18-30",IF(A434&lt;46,"31-45",IF(A434&lt;61,"46-60","60+")))</f>
        <v>31-45</v>
      </c>
      <c r="I434" t="str">
        <f>IF(C434&lt;18.5,"Underweight",IF(C434&lt;25,"Normal",IF(C434&lt;30,"Overweight","Obese")))</f>
        <v>Overweight</v>
      </c>
      <c r="J434">
        <f>IF(E434="yes",1,0)</f>
        <v>0</v>
      </c>
      <c r="K434" t="str">
        <f>IF(G434&gt;15000,"High","Low")</f>
        <v>Low</v>
      </c>
    </row>
    <row r="435" spans="1:11" x14ac:dyDescent="0.35">
      <c r="A435">
        <v>60</v>
      </c>
      <c r="B435" t="s">
        <v>2</v>
      </c>
      <c r="C435">
        <v>30.5</v>
      </c>
      <c r="D435">
        <v>0</v>
      </c>
      <c r="E435" t="s">
        <v>4</v>
      </c>
      <c r="F435" t="s">
        <v>3</v>
      </c>
      <c r="G435" s="2">
        <v>12638.195</v>
      </c>
      <c r="H435" s="1" t="str">
        <f>IF(A435&lt;31,"18-30",IF(A435&lt;46,"31-45",IF(A435&lt;61,"46-60","60+")))</f>
        <v>46-60</v>
      </c>
      <c r="I435" t="str">
        <f>IF(C435&lt;18.5,"Underweight",IF(C435&lt;25,"Normal",IF(C435&lt;30,"Overweight","Obese")))</f>
        <v>Obese</v>
      </c>
      <c r="J435">
        <f>IF(E435="yes",1,0)</f>
        <v>0</v>
      </c>
      <c r="K435" t="str">
        <f>IF(G435&gt;15000,"High","Low")</f>
        <v>Low</v>
      </c>
    </row>
    <row r="436" spans="1:11" x14ac:dyDescent="0.35">
      <c r="A436">
        <v>31</v>
      </c>
      <c r="B436" t="s">
        <v>7</v>
      </c>
      <c r="C436">
        <v>28.594999999999999</v>
      </c>
      <c r="D436">
        <v>1</v>
      </c>
      <c r="E436" t="s">
        <v>4</v>
      </c>
      <c r="F436" t="s">
        <v>0</v>
      </c>
      <c r="G436" s="2">
        <v>4243.5900499999998</v>
      </c>
      <c r="H436" s="1" t="str">
        <f>IF(A436&lt;31,"18-30",IF(A436&lt;46,"31-45",IF(A436&lt;61,"46-60","60+")))</f>
        <v>31-45</v>
      </c>
      <c r="I436" t="str">
        <f>IF(C436&lt;18.5,"Underweight",IF(C436&lt;25,"Normal",IF(C436&lt;30,"Overweight","Obese")))</f>
        <v>Overweight</v>
      </c>
      <c r="J436">
        <f>IF(E436="yes",1,0)</f>
        <v>0</v>
      </c>
      <c r="K436" t="str">
        <f>IF(G436&gt;15000,"High","Low")</f>
        <v>Low</v>
      </c>
    </row>
    <row r="437" spans="1:11" x14ac:dyDescent="0.35">
      <c r="A437">
        <v>60</v>
      </c>
      <c r="B437" t="s">
        <v>7</v>
      </c>
      <c r="C437">
        <v>33.11</v>
      </c>
      <c r="D437">
        <v>3</v>
      </c>
      <c r="E437" t="s">
        <v>4</v>
      </c>
      <c r="F437" t="s">
        <v>5</v>
      </c>
      <c r="G437" s="2">
        <v>13919.822899999999</v>
      </c>
      <c r="H437" s="1" t="str">
        <f>IF(A437&lt;31,"18-30",IF(A437&lt;46,"31-45",IF(A437&lt;61,"46-60","60+")))</f>
        <v>46-60</v>
      </c>
      <c r="I437" t="str">
        <f>IF(C437&lt;18.5,"Underweight",IF(C437&lt;25,"Normal",IF(C437&lt;30,"Overweight","Obese")))</f>
        <v>Obese</v>
      </c>
      <c r="J437">
        <f>IF(E437="yes",1,0)</f>
        <v>0</v>
      </c>
      <c r="K437" t="str">
        <f>IF(G437&gt;15000,"High","Low")</f>
        <v>Low</v>
      </c>
    </row>
    <row r="438" spans="1:11" x14ac:dyDescent="0.35">
      <c r="A438">
        <v>22</v>
      </c>
      <c r="B438" t="s">
        <v>7</v>
      </c>
      <c r="C438">
        <v>31.73</v>
      </c>
      <c r="D438">
        <v>0</v>
      </c>
      <c r="E438" t="s">
        <v>4</v>
      </c>
      <c r="F438" t="s">
        <v>6</v>
      </c>
      <c r="G438" s="2">
        <v>2254.7966999999999</v>
      </c>
      <c r="H438" s="1" t="str">
        <f>IF(A438&lt;31,"18-30",IF(A438&lt;46,"31-45",IF(A438&lt;61,"46-60","60+")))</f>
        <v>18-30</v>
      </c>
      <c r="I438" t="str">
        <f>IF(C438&lt;18.5,"Underweight",IF(C438&lt;25,"Normal",IF(C438&lt;30,"Overweight","Obese")))</f>
        <v>Obese</v>
      </c>
      <c r="J438">
        <f>IF(E438="yes",1,0)</f>
        <v>0</v>
      </c>
      <c r="K438" t="str">
        <f>IF(G438&gt;15000,"High","Low")</f>
        <v>Low</v>
      </c>
    </row>
    <row r="439" spans="1:11" x14ac:dyDescent="0.35">
      <c r="A439">
        <v>35</v>
      </c>
      <c r="B439" t="s">
        <v>7</v>
      </c>
      <c r="C439">
        <v>28.9</v>
      </c>
      <c r="D439">
        <v>3</v>
      </c>
      <c r="E439" t="s">
        <v>4</v>
      </c>
      <c r="F439" t="s">
        <v>3</v>
      </c>
      <c r="G439" s="2">
        <v>5926.8459999999995</v>
      </c>
      <c r="H439" s="1" t="str">
        <f>IF(A439&lt;31,"18-30",IF(A439&lt;46,"31-45",IF(A439&lt;61,"46-60","60+")))</f>
        <v>31-45</v>
      </c>
      <c r="I439" t="str">
        <f>IF(C439&lt;18.5,"Underweight",IF(C439&lt;25,"Normal",IF(C439&lt;30,"Overweight","Obese")))</f>
        <v>Overweight</v>
      </c>
      <c r="J439">
        <f>IF(E439="yes",1,0)</f>
        <v>0</v>
      </c>
      <c r="K439" t="str">
        <f>IF(G439&gt;15000,"High","Low")</f>
        <v>Low</v>
      </c>
    </row>
    <row r="440" spans="1:11" x14ac:dyDescent="0.35">
      <c r="A440">
        <v>52</v>
      </c>
      <c r="B440" t="s">
        <v>2</v>
      </c>
      <c r="C440">
        <v>46.75</v>
      </c>
      <c r="D440">
        <v>5</v>
      </c>
      <c r="E440" t="s">
        <v>4</v>
      </c>
      <c r="F440" t="s">
        <v>5</v>
      </c>
      <c r="G440" s="2">
        <v>12592.5345</v>
      </c>
      <c r="H440" s="1" t="str">
        <f>IF(A440&lt;31,"18-30",IF(A440&lt;46,"31-45",IF(A440&lt;61,"46-60","60+")))</f>
        <v>46-60</v>
      </c>
      <c r="I440" t="str">
        <f>IF(C440&lt;18.5,"Underweight",IF(C440&lt;25,"Normal",IF(C440&lt;30,"Overweight","Obese")))</f>
        <v>Obese</v>
      </c>
      <c r="J440">
        <f>IF(E440="yes",1,0)</f>
        <v>0</v>
      </c>
      <c r="K440" t="str">
        <f>IF(G440&gt;15000,"High","Low")</f>
        <v>Low</v>
      </c>
    </row>
    <row r="441" spans="1:11" x14ac:dyDescent="0.35">
      <c r="A441">
        <v>26</v>
      </c>
      <c r="B441" t="s">
        <v>7</v>
      </c>
      <c r="C441">
        <v>29.45</v>
      </c>
      <c r="D441">
        <v>0</v>
      </c>
      <c r="E441" t="s">
        <v>4</v>
      </c>
      <c r="F441" t="s">
        <v>6</v>
      </c>
      <c r="G441" s="2">
        <v>2897.3235</v>
      </c>
      <c r="H441" s="1" t="str">
        <f>IF(A441&lt;31,"18-30",IF(A441&lt;46,"31-45",IF(A441&lt;61,"46-60","60+")))</f>
        <v>18-30</v>
      </c>
      <c r="I441" t="str">
        <f>IF(C441&lt;18.5,"Underweight",IF(C441&lt;25,"Normal",IF(C441&lt;30,"Overweight","Obese")))</f>
        <v>Overweight</v>
      </c>
      <c r="J441">
        <f>IF(E441="yes",1,0)</f>
        <v>0</v>
      </c>
      <c r="K441" t="str">
        <f>IF(G441&gt;15000,"High","Low")</f>
        <v>Low</v>
      </c>
    </row>
    <row r="442" spans="1:11" x14ac:dyDescent="0.35">
      <c r="A442">
        <v>31</v>
      </c>
      <c r="B442" t="s">
        <v>2</v>
      </c>
      <c r="C442">
        <v>32.68</v>
      </c>
      <c r="D442">
        <v>1</v>
      </c>
      <c r="E442" t="s">
        <v>4</v>
      </c>
      <c r="F442" t="s">
        <v>0</v>
      </c>
      <c r="G442" s="2">
        <v>4738.2682000000004</v>
      </c>
      <c r="H442" s="1" t="str">
        <f>IF(A442&lt;31,"18-30",IF(A442&lt;46,"31-45",IF(A442&lt;61,"46-60","60+")))</f>
        <v>31-45</v>
      </c>
      <c r="I442" t="str">
        <f>IF(C442&lt;18.5,"Underweight",IF(C442&lt;25,"Normal",IF(C442&lt;30,"Overweight","Obese")))</f>
        <v>Obese</v>
      </c>
      <c r="J442">
        <f>IF(E442="yes",1,0)</f>
        <v>0</v>
      </c>
      <c r="K442" t="str">
        <f>IF(G442&gt;15000,"High","Low")</f>
        <v>Low</v>
      </c>
    </row>
    <row r="443" spans="1:11" x14ac:dyDescent="0.35">
      <c r="A443">
        <v>33</v>
      </c>
      <c r="B443" t="s">
        <v>2</v>
      </c>
      <c r="C443">
        <v>33.5</v>
      </c>
      <c r="D443">
        <v>0</v>
      </c>
      <c r="E443" t="s">
        <v>1</v>
      </c>
      <c r="F443" t="s">
        <v>3</v>
      </c>
      <c r="G443" s="2">
        <v>37079.372000000003</v>
      </c>
      <c r="H443" s="1" t="str">
        <f>IF(A443&lt;31,"18-30",IF(A443&lt;46,"31-45",IF(A443&lt;61,"46-60","60+")))</f>
        <v>31-45</v>
      </c>
      <c r="I443" t="str">
        <f>IF(C443&lt;18.5,"Underweight",IF(C443&lt;25,"Normal",IF(C443&lt;30,"Overweight","Obese")))</f>
        <v>Obese</v>
      </c>
      <c r="J443">
        <f>IF(E443="yes",1,0)</f>
        <v>1</v>
      </c>
      <c r="K443" t="str">
        <f>IF(G443&gt;15000,"High","Low")</f>
        <v>High</v>
      </c>
    </row>
    <row r="444" spans="1:11" x14ac:dyDescent="0.35">
      <c r="A444">
        <v>18</v>
      </c>
      <c r="B444" t="s">
        <v>7</v>
      </c>
      <c r="C444">
        <v>43.01</v>
      </c>
      <c r="D444">
        <v>0</v>
      </c>
      <c r="E444" t="s">
        <v>4</v>
      </c>
      <c r="F444" t="s">
        <v>5</v>
      </c>
      <c r="G444" s="2">
        <v>1149.3959</v>
      </c>
      <c r="H444" s="1" t="str">
        <f>IF(A444&lt;31,"18-30",IF(A444&lt;46,"31-45",IF(A444&lt;61,"46-60","60+")))</f>
        <v>18-30</v>
      </c>
      <c r="I444" t="str">
        <f>IF(C444&lt;18.5,"Underweight",IF(C444&lt;25,"Normal",IF(C444&lt;30,"Overweight","Obese")))</f>
        <v>Obese</v>
      </c>
      <c r="J444">
        <f>IF(E444="yes",1,0)</f>
        <v>0</v>
      </c>
      <c r="K444" t="str">
        <f>IF(G444&gt;15000,"High","Low")</f>
        <v>Low</v>
      </c>
    </row>
    <row r="445" spans="1:11" x14ac:dyDescent="0.35">
      <c r="A445">
        <v>59</v>
      </c>
      <c r="B445" t="s">
        <v>2</v>
      </c>
      <c r="C445">
        <v>36.520000000000003</v>
      </c>
      <c r="D445">
        <v>1</v>
      </c>
      <c r="E445" t="s">
        <v>4</v>
      </c>
      <c r="F445" t="s">
        <v>5</v>
      </c>
      <c r="G445" s="2">
        <v>28287.897659999999</v>
      </c>
      <c r="H445" s="1" t="str">
        <f>IF(A445&lt;31,"18-30",IF(A445&lt;46,"31-45",IF(A445&lt;61,"46-60","60+")))</f>
        <v>46-60</v>
      </c>
      <c r="I445" t="str">
        <f>IF(C445&lt;18.5,"Underweight",IF(C445&lt;25,"Normal",IF(C445&lt;30,"Overweight","Obese")))</f>
        <v>Obese</v>
      </c>
      <c r="J445">
        <f>IF(E445="yes",1,0)</f>
        <v>0</v>
      </c>
      <c r="K445" t="str">
        <f>IF(G445&gt;15000,"High","Low")</f>
        <v>High</v>
      </c>
    </row>
    <row r="446" spans="1:11" x14ac:dyDescent="0.35">
      <c r="A446">
        <v>56</v>
      </c>
      <c r="B446" t="s">
        <v>7</v>
      </c>
      <c r="C446">
        <v>26.695</v>
      </c>
      <c r="D446">
        <v>1</v>
      </c>
      <c r="E446" t="s">
        <v>1</v>
      </c>
      <c r="F446" t="s">
        <v>0</v>
      </c>
      <c r="G446" s="2">
        <v>26109.32905</v>
      </c>
      <c r="H446" s="1" t="str">
        <f>IF(A446&lt;31,"18-30",IF(A446&lt;46,"31-45",IF(A446&lt;61,"46-60","60+")))</f>
        <v>46-60</v>
      </c>
      <c r="I446" t="str">
        <f>IF(C446&lt;18.5,"Underweight",IF(C446&lt;25,"Normal",IF(C446&lt;30,"Overweight","Obese")))</f>
        <v>Overweight</v>
      </c>
      <c r="J446">
        <f>IF(E446="yes",1,0)</f>
        <v>1</v>
      </c>
      <c r="K446" t="str">
        <f>IF(G446&gt;15000,"High","Low")</f>
        <v>High</v>
      </c>
    </row>
    <row r="447" spans="1:11" x14ac:dyDescent="0.35">
      <c r="A447">
        <v>45</v>
      </c>
      <c r="B447" t="s">
        <v>2</v>
      </c>
      <c r="C447">
        <v>33.1</v>
      </c>
      <c r="D447">
        <v>0</v>
      </c>
      <c r="E447" t="s">
        <v>4</v>
      </c>
      <c r="F447" t="s">
        <v>3</v>
      </c>
      <c r="G447" s="2">
        <v>7345.0839999999998</v>
      </c>
      <c r="H447" s="1" t="str">
        <f>IF(A447&lt;31,"18-30",IF(A447&lt;46,"31-45",IF(A447&lt;61,"46-60","60+")))</f>
        <v>31-45</v>
      </c>
      <c r="I447" t="str">
        <f>IF(C447&lt;18.5,"Underweight",IF(C447&lt;25,"Normal",IF(C447&lt;30,"Overweight","Obese")))</f>
        <v>Obese</v>
      </c>
      <c r="J447">
        <f>IF(E447="yes",1,0)</f>
        <v>0</v>
      </c>
      <c r="K447" t="str">
        <f>IF(G447&gt;15000,"High","Low")</f>
        <v>Low</v>
      </c>
    </row>
    <row r="448" spans="1:11" x14ac:dyDescent="0.35">
      <c r="A448">
        <v>60</v>
      </c>
      <c r="B448" t="s">
        <v>7</v>
      </c>
      <c r="C448">
        <v>29.64</v>
      </c>
      <c r="D448">
        <v>0</v>
      </c>
      <c r="E448" t="s">
        <v>4</v>
      </c>
      <c r="F448" t="s">
        <v>6</v>
      </c>
      <c r="G448" s="2">
        <v>12730.999599999999</v>
      </c>
      <c r="H448" s="1" t="str">
        <f>IF(A448&lt;31,"18-30",IF(A448&lt;46,"31-45",IF(A448&lt;61,"46-60","60+")))</f>
        <v>46-60</v>
      </c>
      <c r="I448" t="str">
        <f>IF(C448&lt;18.5,"Underweight",IF(C448&lt;25,"Normal",IF(C448&lt;30,"Overweight","Obese")))</f>
        <v>Overweight</v>
      </c>
      <c r="J448">
        <f>IF(E448="yes",1,0)</f>
        <v>0</v>
      </c>
      <c r="K448" t="str">
        <f>IF(G448&gt;15000,"High","Low")</f>
        <v>Low</v>
      </c>
    </row>
    <row r="449" spans="1:11" x14ac:dyDescent="0.35">
      <c r="A449">
        <v>56</v>
      </c>
      <c r="B449" t="s">
        <v>2</v>
      </c>
      <c r="C449">
        <v>25.65</v>
      </c>
      <c r="D449">
        <v>0</v>
      </c>
      <c r="E449" t="s">
        <v>4</v>
      </c>
      <c r="F449" t="s">
        <v>0</v>
      </c>
      <c r="G449" s="2">
        <v>11454.021500000001</v>
      </c>
      <c r="H449" s="1" t="str">
        <f>IF(A449&lt;31,"18-30",IF(A449&lt;46,"31-45",IF(A449&lt;61,"46-60","60+")))</f>
        <v>46-60</v>
      </c>
      <c r="I449" t="str">
        <f>IF(C449&lt;18.5,"Underweight",IF(C449&lt;25,"Normal",IF(C449&lt;30,"Overweight","Obese")))</f>
        <v>Overweight</v>
      </c>
      <c r="J449">
        <f>IF(E449="yes",1,0)</f>
        <v>0</v>
      </c>
      <c r="K449" t="str">
        <f>IF(G449&gt;15000,"High","Low")</f>
        <v>Low</v>
      </c>
    </row>
    <row r="450" spans="1:11" x14ac:dyDescent="0.35">
      <c r="A450">
        <v>40</v>
      </c>
      <c r="B450" t="s">
        <v>2</v>
      </c>
      <c r="C450">
        <v>29.6</v>
      </c>
      <c r="D450">
        <v>0</v>
      </c>
      <c r="E450" t="s">
        <v>4</v>
      </c>
      <c r="F450" t="s">
        <v>3</v>
      </c>
      <c r="G450" s="2">
        <v>5910.9440000000004</v>
      </c>
      <c r="H450" s="1" t="str">
        <f>IF(A450&lt;31,"18-30",IF(A450&lt;46,"31-45",IF(A450&lt;61,"46-60","60+")))</f>
        <v>31-45</v>
      </c>
      <c r="I450" t="str">
        <f>IF(C450&lt;18.5,"Underweight",IF(C450&lt;25,"Normal",IF(C450&lt;30,"Overweight","Obese")))</f>
        <v>Overweight</v>
      </c>
      <c r="J450">
        <f>IF(E450="yes",1,0)</f>
        <v>0</v>
      </c>
      <c r="K450" t="str">
        <f>IF(G450&gt;15000,"High","Low")</f>
        <v>Low</v>
      </c>
    </row>
    <row r="451" spans="1:11" x14ac:dyDescent="0.35">
      <c r="A451">
        <v>35</v>
      </c>
      <c r="B451" t="s">
        <v>7</v>
      </c>
      <c r="C451">
        <v>38.6</v>
      </c>
      <c r="D451">
        <v>1</v>
      </c>
      <c r="E451" t="s">
        <v>4</v>
      </c>
      <c r="F451" t="s">
        <v>3</v>
      </c>
      <c r="G451" s="2">
        <v>4762.3289999999997</v>
      </c>
      <c r="H451" s="1" t="str">
        <f>IF(A451&lt;31,"18-30",IF(A451&lt;46,"31-45",IF(A451&lt;61,"46-60","60+")))</f>
        <v>31-45</v>
      </c>
      <c r="I451" t="str">
        <f>IF(C451&lt;18.5,"Underweight",IF(C451&lt;25,"Normal",IF(C451&lt;30,"Overweight","Obese")))</f>
        <v>Obese</v>
      </c>
      <c r="J451">
        <f>IF(E451="yes",1,0)</f>
        <v>0</v>
      </c>
      <c r="K451" t="str">
        <f>IF(G451&gt;15000,"High","Low")</f>
        <v>Low</v>
      </c>
    </row>
    <row r="452" spans="1:11" x14ac:dyDescent="0.35">
      <c r="A452">
        <v>39</v>
      </c>
      <c r="B452" t="s">
        <v>7</v>
      </c>
      <c r="C452">
        <v>29.6</v>
      </c>
      <c r="D452">
        <v>4</v>
      </c>
      <c r="E452" t="s">
        <v>4</v>
      </c>
      <c r="F452" t="s">
        <v>3</v>
      </c>
      <c r="G452" s="2">
        <v>7512.2669999999998</v>
      </c>
      <c r="H452" s="1" t="str">
        <f>IF(A452&lt;31,"18-30",IF(A452&lt;46,"31-45",IF(A452&lt;61,"46-60","60+")))</f>
        <v>31-45</v>
      </c>
      <c r="I452" t="str">
        <f>IF(C452&lt;18.5,"Underweight",IF(C452&lt;25,"Normal",IF(C452&lt;30,"Overweight","Obese")))</f>
        <v>Overweight</v>
      </c>
      <c r="J452">
        <f>IF(E452="yes",1,0)</f>
        <v>0</v>
      </c>
      <c r="K452" t="str">
        <f>IF(G452&gt;15000,"High","Low")</f>
        <v>Low</v>
      </c>
    </row>
    <row r="453" spans="1:11" x14ac:dyDescent="0.35">
      <c r="A453">
        <v>30</v>
      </c>
      <c r="B453" t="s">
        <v>7</v>
      </c>
      <c r="C453">
        <v>24.13</v>
      </c>
      <c r="D453">
        <v>1</v>
      </c>
      <c r="E453" t="s">
        <v>4</v>
      </c>
      <c r="F453" t="s">
        <v>0</v>
      </c>
      <c r="G453" s="2">
        <v>4032.2406999999998</v>
      </c>
      <c r="H453" s="1" t="str">
        <f>IF(A453&lt;31,"18-30",IF(A453&lt;46,"31-45",IF(A453&lt;61,"46-60","60+")))</f>
        <v>18-30</v>
      </c>
      <c r="I453" t="str">
        <f>IF(C453&lt;18.5,"Underweight",IF(C453&lt;25,"Normal",IF(C453&lt;30,"Overweight","Obese")))</f>
        <v>Normal</v>
      </c>
      <c r="J453">
        <f>IF(E453="yes",1,0)</f>
        <v>0</v>
      </c>
      <c r="K453" t="str">
        <f>IF(G453&gt;15000,"High","Low")</f>
        <v>Low</v>
      </c>
    </row>
    <row r="454" spans="1:11" x14ac:dyDescent="0.35">
      <c r="A454">
        <v>24</v>
      </c>
      <c r="B454" t="s">
        <v>7</v>
      </c>
      <c r="C454">
        <v>23.4</v>
      </c>
      <c r="D454">
        <v>0</v>
      </c>
      <c r="E454" t="s">
        <v>4</v>
      </c>
      <c r="F454" t="s">
        <v>3</v>
      </c>
      <c r="G454" s="2">
        <v>1969.614</v>
      </c>
      <c r="H454" s="1" t="str">
        <f>IF(A454&lt;31,"18-30",IF(A454&lt;46,"31-45",IF(A454&lt;61,"46-60","60+")))</f>
        <v>18-30</v>
      </c>
      <c r="I454" t="str">
        <f>IF(C454&lt;18.5,"Underweight",IF(C454&lt;25,"Normal",IF(C454&lt;30,"Overweight","Obese")))</f>
        <v>Normal</v>
      </c>
      <c r="J454">
        <f>IF(E454="yes",1,0)</f>
        <v>0</v>
      </c>
      <c r="K454" t="str">
        <f>IF(G454&gt;15000,"High","Low")</f>
        <v>Low</v>
      </c>
    </row>
    <row r="455" spans="1:11" x14ac:dyDescent="0.35">
      <c r="A455">
        <v>20</v>
      </c>
      <c r="B455" t="s">
        <v>7</v>
      </c>
      <c r="C455">
        <v>29.734999999999999</v>
      </c>
      <c r="D455">
        <v>0</v>
      </c>
      <c r="E455" t="s">
        <v>4</v>
      </c>
      <c r="F455" t="s">
        <v>0</v>
      </c>
      <c r="G455" s="2">
        <v>1769.5316499999999</v>
      </c>
      <c r="H455" s="1" t="str">
        <f>IF(A455&lt;31,"18-30",IF(A455&lt;46,"31-45",IF(A455&lt;61,"46-60","60+")))</f>
        <v>18-30</v>
      </c>
      <c r="I455" t="str">
        <f>IF(C455&lt;18.5,"Underweight",IF(C455&lt;25,"Normal",IF(C455&lt;30,"Overweight","Obese")))</f>
        <v>Overweight</v>
      </c>
      <c r="J455">
        <f>IF(E455="yes",1,0)</f>
        <v>0</v>
      </c>
      <c r="K455" t="str">
        <f>IF(G455&gt;15000,"High","Low")</f>
        <v>Low</v>
      </c>
    </row>
    <row r="456" spans="1:11" x14ac:dyDescent="0.35">
      <c r="A456">
        <v>32</v>
      </c>
      <c r="B456" t="s">
        <v>7</v>
      </c>
      <c r="C456">
        <v>46.53</v>
      </c>
      <c r="D456">
        <v>2</v>
      </c>
      <c r="E456" t="s">
        <v>4</v>
      </c>
      <c r="F456" t="s">
        <v>5</v>
      </c>
      <c r="G456" s="2">
        <v>4686.3887000000004</v>
      </c>
      <c r="H456" s="1" t="str">
        <f>IF(A456&lt;31,"18-30",IF(A456&lt;46,"31-45",IF(A456&lt;61,"46-60","60+")))</f>
        <v>31-45</v>
      </c>
      <c r="I456" t="str">
        <f>IF(C456&lt;18.5,"Underweight",IF(C456&lt;25,"Normal",IF(C456&lt;30,"Overweight","Obese")))</f>
        <v>Obese</v>
      </c>
      <c r="J456">
        <f>IF(E456="yes",1,0)</f>
        <v>0</v>
      </c>
      <c r="K456" t="str">
        <f>IF(G456&gt;15000,"High","Low")</f>
        <v>Low</v>
      </c>
    </row>
    <row r="457" spans="1:11" x14ac:dyDescent="0.35">
      <c r="A457">
        <v>59</v>
      </c>
      <c r="B457" t="s">
        <v>7</v>
      </c>
      <c r="C457">
        <v>37.4</v>
      </c>
      <c r="D457">
        <v>0</v>
      </c>
      <c r="E457" t="s">
        <v>4</v>
      </c>
      <c r="F457" t="s">
        <v>3</v>
      </c>
      <c r="G457" s="2">
        <v>21797.000400000001</v>
      </c>
      <c r="H457" s="1" t="str">
        <f>IF(A457&lt;31,"18-30",IF(A457&lt;46,"31-45",IF(A457&lt;61,"46-60","60+")))</f>
        <v>46-60</v>
      </c>
      <c r="I457" t="str">
        <f>IF(C457&lt;18.5,"Underweight",IF(C457&lt;25,"Normal",IF(C457&lt;30,"Overweight","Obese")))</f>
        <v>Obese</v>
      </c>
      <c r="J457">
        <f>IF(E457="yes",1,0)</f>
        <v>0</v>
      </c>
      <c r="K457" t="str">
        <f>IF(G457&gt;15000,"High","Low")</f>
        <v>High</v>
      </c>
    </row>
    <row r="458" spans="1:11" x14ac:dyDescent="0.35">
      <c r="A458">
        <v>55</v>
      </c>
      <c r="B458" t="s">
        <v>2</v>
      </c>
      <c r="C458">
        <v>30.14</v>
      </c>
      <c r="D458">
        <v>2</v>
      </c>
      <c r="E458" t="s">
        <v>4</v>
      </c>
      <c r="F458" t="s">
        <v>5</v>
      </c>
      <c r="G458" s="2">
        <v>11881.9696</v>
      </c>
      <c r="H458" s="1" t="str">
        <f>IF(A458&lt;31,"18-30",IF(A458&lt;46,"31-45",IF(A458&lt;61,"46-60","60+")))</f>
        <v>46-60</v>
      </c>
      <c r="I458" t="str">
        <f>IF(C458&lt;18.5,"Underweight",IF(C458&lt;25,"Normal",IF(C458&lt;30,"Overweight","Obese")))</f>
        <v>Obese</v>
      </c>
      <c r="J458">
        <f>IF(E458="yes",1,0)</f>
        <v>0</v>
      </c>
      <c r="K458" t="str">
        <f>IF(G458&gt;15000,"High","Low")</f>
        <v>Low</v>
      </c>
    </row>
    <row r="459" spans="1:11" x14ac:dyDescent="0.35">
      <c r="A459">
        <v>57</v>
      </c>
      <c r="B459" t="s">
        <v>2</v>
      </c>
      <c r="C459">
        <v>30.495000000000001</v>
      </c>
      <c r="D459">
        <v>0</v>
      </c>
      <c r="E459" t="s">
        <v>4</v>
      </c>
      <c r="F459" t="s">
        <v>0</v>
      </c>
      <c r="G459" s="2">
        <v>11840.77505</v>
      </c>
      <c r="H459" s="1" t="str">
        <f>IF(A459&lt;31,"18-30",IF(A459&lt;46,"31-45",IF(A459&lt;61,"46-60","60+")))</f>
        <v>46-60</v>
      </c>
      <c r="I459" t="str">
        <f>IF(C459&lt;18.5,"Underweight",IF(C459&lt;25,"Normal",IF(C459&lt;30,"Overweight","Obese")))</f>
        <v>Obese</v>
      </c>
      <c r="J459">
        <f>IF(E459="yes",1,0)</f>
        <v>0</v>
      </c>
      <c r="K459" t="str">
        <f>IF(G459&gt;15000,"High","Low")</f>
        <v>Low</v>
      </c>
    </row>
    <row r="460" spans="1:11" x14ac:dyDescent="0.35">
      <c r="A460">
        <v>56</v>
      </c>
      <c r="B460" t="s">
        <v>7</v>
      </c>
      <c r="C460">
        <v>39.6</v>
      </c>
      <c r="D460">
        <v>0</v>
      </c>
      <c r="E460" t="s">
        <v>4</v>
      </c>
      <c r="F460" t="s">
        <v>3</v>
      </c>
      <c r="G460" s="2">
        <v>10601.412</v>
      </c>
      <c r="H460" s="1" t="str">
        <f>IF(A460&lt;31,"18-30",IF(A460&lt;46,"31-45",IF(A460&lt;61,"46-60","60+")))</f>
        <v>46-60</v>
      </c>
      <c r="I460" t="str">
        <f>IF(C460&lt;18.5,"Underweight",IF(C460&lt;25,"Normal",IF(C460&lt;30,"Overweight","Obese")))</f>
        <v>Obese</v>
      </c>
      <c r="J460">
        <f>IF(E460="yes",1,0)</f>
        <v>0</v>
      </c>
      <c r="K460" t="str">
        <f>IF(G460&gt;15000,"High","Low")</f>
        <v>Low</v>
      </c>
    </row>
    <row r="461" spans="1:11" x14ac:dyDescent="0.35">
      <c r="A461">
        <v>40</v>
      </c>
      <c r="B461" t="s">
        <v>2</v>
      </c>
      <c r="C461">
        <v>33</v>
      </c>
      <c r="D461">
        <v>3</v>
      </c>
      <c r="E461" t="s">
        <v>4</v>
      </c>
      <c r="F461" t="s">
        <v>5</v>
      </c>
      <c r="G461" s="2">
        <v>7682.67</v>
      </c>
      <c r="H461" s="1" t="str">
        <f>IF(A461&lt;31,"18-30",IF(A461&lt;46,"31-45",IF(A461&lt;61,"46-60","60+")))</f>
        <v>31-45</v>
      </c>
      <c r="I461" t="str">
        <f>IF(C461&lt;18.5,"Underweight",IF(C461&lt;25,"Normal",IF(C461&lt;30,"Overweight","Obese")))</f>
        <v>Obese</v>
      </c>
      <c r="J461">
        <f>IF(E461="yes",1,0)</f>
        <v>0</v>
      </c>
      <c r="K461" t="str">
        <f>IF(G461&gt;15000,"High","Low")</f>
        <v>Low</v>
      </c>
    </row>
    <row r="462" spans="1:11" x14ac:dyDescent="0.35">
      <c r="A462">
        <v>49</v>
      </c>
      <c r="B462" t="s">
        <v>2</v>
      </c>
      <c r="C462">
        <v>36.630000000000003</v>
      </c>
      <c r="D462">
        <v>3</v>
      </c>
      <c r="E462" t="s">
        <v>4</v>
      </c>
      <c r="F462" t="s">
        <v>5</v>
      </c>
      <c r="G462" s="2">
        <v>10381.4787</v>
      </c>
      <c r="H462" s="1" t="str">
        <f>IF(A462&lt;31,"18-30",IF(A462&lt;46,"31-45",IF(A462&lt;61,"46-60","60+")))</f>
        <v>46-60</v>
      </c>
      <c r="I462" t="str">
        <f>IF(C462&lt;18.5,"Underweight",IF(C462&lt;25,"Normal",IF(C462&lt;30,"Overweight","Obese")))</f>
        <v>Obese</v>
      </c>
      <c r="J462">
        <f>IF(E462="yes",1,0)</f>
        <v>0</v>
      </c>
      <c r="K462" t="str">
        <f>IF(G462&gt;15000,"High","Low")</f>
        <v>Low</v>
      </c>
    </row>
    <row r="463" spans="1:11" x14ac:dyDescent="0.35">
      <c r="A463">
        <v>42</v>
      </c>
      <c r="B463" t="s">
        <v>7</v>
      </c>
      <c r="C463">
        <v>30</v>
      </c>
      <c r="D463">
        <v>0</v>
      </c>
      <c r="E463" t="s">
        <v>1</v>
      </c>
      <c r="F463" t="s">
        <v>3</v>
      </c>
      <c r="G463" s="2">
        <v>22144.031999999999</v>
      </c>
      <c r="H463" s="1" t="str">
        <f>IF(A463&lt;31,"18-30",IF(A463&lt;46,"31-45",IF(A463&lt;61,"46-60","60+")))</f>
        <v>31-45</v>
      </c>
      <c r="I463" t="str">
        <f>IF(C463&lt;18.5,"Underweight",IF(C463&lt;25,"Normal",IF(C463&lt;30,"Overweight","Obese")))</f>
        <v>Obese</v>
      </c>
      <c r="J463">
        <f>IF(E463="yes",1,0)</f>
        <v>1</v>
      </c>
      <c r="K463" t="str">
        <f>IF(G463&gt;15000,"High","Low")</f>
        <v>High</v>
      </c>
    </row>
    <row r="464" spans="1:11" x14ac:dyDescent="0.35">
      <c r="A464">
        <v>62</v>
      </c>
      <c r="B464" t="s">
        <v>2</v>
      </c>
      <c r="C464">
        <v>38.094999999999999</v>
      </c>
      <c r="D464">
        <v>2</v>
      </c>
      <c r="E464" t="s">
        <v>4</v>
      </c>
      <c r="F464" t="s">
        <v>6</v>
      </c>
      <c r="G464" s="2">
        <v>15230.324049999999</v>
      </c>
      <c r="H464" s="1" t="str">
        <f>IF(A464&lt;31,"18-30",IF(A464&lt;46,"31-45",IF(A464&lt;61,"46-60","60+")))</f>
        <v>60+</v>
      </c>
      <c r="I464" t="str">
        <f>IF(C464&lt;18.5,"Underweight",IF(C464&lt;25,"Normal",IF(C464&lt;30,"Overweight","Obese")))</f>
        <v>Obese</v>
      </c>
      <c r="J464">
        <f>IF(E464="yes",1,0)</f>
        <v>0</v>
      </c>
      <c r="K464" t="str">
        <f>IF(G464&gt;15000,"High","Low")</f>
        <v>High</v>
      </c>
    </row>
    <row r="465" spans="1:11" x14ac:dyDescent="0.35">
      <c r="A465">
        <v>56</v>
      </c>
      <c r="B465" t="s">
        <v>7</v>
      </c>
      <c r="C465">
        <v>25.934999999999999</v>
      </c>
      <c r="D465">
        <v>0</v>
      </c>
      <c r="E465" t="s">
        <v>4</v>
      </c>
      <c r="F465" t="s">
        <v>6</v>
      </c>
      <c r="G465" s="2">
        <v>11165.417649999999</v>
      </c>
      <c r="H465" s="1" t="str">
        <f>IF(A465&lt;31,"18-30",IF(A465&lt;46,"31-45",IF(A465&lt;61,"46-60","60+")))</f>
        <v>46-60</v>
      </c>
      <c r="I465" t="str">
        <f>IF(C465&lt;18.5,"Underweight",IF(C465&lt;25,"Normal",IF(C465&lt;30,"Overweight","Obese")))</f>
        <v>Overweight</v>
      </c>
      <c r="J465">
        <f>IF(E465="yes",1,0)</f>
        <v>0</v>
      </c>
      <c r="K465" t="str">
        <f>IF(G465&gt;15000,"High","Low")</f>
        <v>Low</v>
      </c>
    </row>
    <row r="466" spans="1:11" x14ac:dyDescent="0.35">
      <c r="A466">
        <v>19</v>
      </c>
      <c r="B466" t="s">
        <v>7</v>
      </c>
      <c r="C466">
        <v>25.175000000000001</v>
      </c>
      <c r="D466">
        <v>0</v>
      </c>
      <c r="E466" t="s">
        <v>4</v>
      </c>
      <c r="F466" t="s">
        <v>0</v>
      </c>
      <c r="G466" s="2">
        <v>1632.0362500000001</v>
      </c>
      <c r="H466" s="1" t="str">
        <f>IF(A466&lt;31,"18-30",IF(A466&lt;46,"31-45",IF(A466&lt;61,"46-60","60+")))</f>
        <v>18-30</v>
      </c>
      <c r="I466" t="str">
        <f>IF(C466&lt;18.5,"Underweight",IF(C466&lt;25,"Normal",IF(C466&lt;30,"Overweight","Obese")))</f>
        <v>Overweight</v>
      </c>
      <c r="J466">
        <f>IF(E466="yes",1,0)</f>
        <v>0</v>
      </c>
      <c r="K466" t="str">
        <f>IF(G466&gt;15000,"High","Low")</f>
        <v>Low</v>
      </c>
    </row>
    <row r="467" spans="1:11" x14ac:dyDescent="0.35">
      <c r="A467">
        <v>30</v>
      </c>
      <c r="B467" t="s">
        <v>2</v>
      </c>
      <c r="C467">
        <v>28.38</v>
      </c>
      <c r="D467">
        <v>1</v>
      </c>
      <c r="E467" t="s">
        <v>1</v>
      </c>
      <c r="F467" t="s">
        <v>5</v>
      </c>
      <c r="G467" s="2">
        <v>19521.968199999999</v>
      </c>
      <c r="H467" s="1" t="str">
        <f>IF(A467&lt;31,"18-30",IF(A467&lt;46,"31-45",IF(A467&lt;61,"46-60","60+")))</f>
        <v>18-30</v>
      </c>
      <c r="I467" t="str">
        <f>IF(C467&lt;18.5,"Underweight",IF(C467&lt;25,"Normal",IF(C467&lt;30,"Overweight","Obese")))</f>
        <v>Overweight</v>
      </c>
      <c r="J467">
        <f>IF(E467="yes",1,0)</f>
        <v>1</v>
      </c>
      <c r="K467" t="str">
        <f>IF(G467&gt;15000,"High","Low")</f>
        <v>High</v>
      </c>
    </row>
    <row r="468" spans="1:11" x14ac:dyDescent="0.35">
      <c r="A468">
        <v>60</v>
      </c>
      <c r="B468" t="s">
        <v>2</v>
      </c>
      <c r="C468">
        <v>28.7</v>
      </c>
      <c r="D468">
        <v>1</v>
      </c>
      <c r="E468" t="s">
        <v>4</v>
      </c>
      <c r="F468" t="s">
        <v>3</v>
      </c>
      <c r="G468" s="2">
        <v>13224.692999999999</v>
      </c>
      <c r="H468" s="1" t="str">
        <f>IF(A468&lt;31,"18-30",IF(A468&lt;46,"31-45",IF(A468&lt;61,"46-60","60+")))</f>
        <v>46-60</v>
      </c>
      <c r="I468" t="str">
        <f>IF(C468&lt;18.5,"Underweight",IF(C468&lt;25,"Normal",IF(C468&lt;30,"Overweight","Obese")))</f>
        <v>Overweight</v>
      </c>
      <c r="J468">
        <f>IF(E468="yes",1,0)</f>
        <v>0</v>
      </c>
      <c r="K468" t="str">
        <f>IF(G468&gt;15000,"High","Low")</f>
        <v>Low</v>
      </c>
    </row>
    <row r="469" spans="1:11" x14ac:dyDescent="0.35">
      <c r="A469">
        <v>56</v>
      </c>
      <c r="B469" t="s">
        <v>2</v>
      </c>
      <c r="C469">
        <v>33.82</v>
      </c>
      <c r="D469">
        <v>2</v>
      </c>
      <c r="E469" t="s">
        <v>4</v>
      </c>
      <c r="F469" t="s">
        <v>0</v>
      </c>
      <c r="G469" s="2">
        <v>12643.3778</v>
      </c>
      <c r="H469" s="1" t="str">
        <f>IF(A469&lt;31,"18-30",IF(A469&lt;46,"31-45",IF(A469&lt;61,"46-60","60+")))</f>
        <v>46-60</v>
      </c>
      <c r="I469" t="str">
        <f>IF(C469&lt;18.5,"Underweight",IF(C469&lt;25,"Normal",IF(C469&lt;30,"Overweight","Obese")))</f>
        <v>Obese</v>
      </c>
      <c r="J469">
        <f>IF(E469="yes",1,0)</f>
        <v>0</v>
      </c>
      <c r="K469" t="str">
        <f>IF(G469&gt;15000,"High","Low")</f>
        <v>Low</v>
      </c>
    </row>
    <row r="470" spans="1:11" x14ac:dyDescent="0.35">
      <c r="A470">
        <v>28</v>
      </c>
      <c r="B470" t="s">
        <v>2</v>
      </c>
      <c r="C470">
        <v>24.32</v>
      </c>
      <c r="D470">
        <v>1</v>
      </c>
      <c r="E470" t="s">
        <v>4</v>
      </c>
      <c r="F470" t="s">
        <v>6</v>
      </c>
      <c r="G470" s="2">
        <v>23288.928400000001</v>
      </c>
      <c r="H470" s="1" t="str">
        <f>IF(A470&lt;31,"18-30",IF(A470&lt;46,"31-45",IF(A470&lt;61,"46-60","60+")))</f>
        <v>18-30</v>
      </c>
      <c r="I470" t="str">
        <f>IF(C470&lt;18.5,"Underweight",IF(C470&lt;25,"Normal",IF(C470&lt;30,"Overweight","Obese")))</f>
        <v>Normal</v>
      </c>
      <c r="J470">
        <f>IF(E470="yes",1,0)</f>
        <v>0</v>
      </c>
      <c r="K470" t="str">
        <f>IF(G470&gt;15000,"High","Low")</f>
        <v>High</v>
      </c>
    </row>
    <row r="471" spans="1:11" x14ac:dyDescent="0.35">
      <c r="A471">
        <v>18</v>
      </c>
      <c r="B471" t="s">
        <v>2</v>
      </c>
      <c r="C471">
        <v>24.09</v>
      </c>
      <c r="D471">
        <v>1</v>
      </c>
      <c r="E471" t="s">
        <v>4</v>
      </c>
      <c r="F471" t="s">
        <v>5</v>
      </c>
      <c r="G471" s="2">
        <v>2201.0971</v>
      </c>
      <c r="H471" s="1" t="str">
        <f>IF(A471&lt;31,"18-30",IF(A471&lt;46,"31-45",IF(A471&lt;61,"46-60","60+")))</f>
        <v>18-30</v>
      </c>
      <c r="I471" t="str">
        <f>IF(C471&lt;18.5,"Underweight",IF(C471&lt;25,"Normal",IF(C471&lt;30,"Overweight","Obese")))</f>
        <v>Normal</v>
      </c>
      <c r="J471">
        <f>IF(E471="yes",1,0)</f>
        <v>0</v>
      </c>
      <c r="K471" t="str">
        <f>IF(G471&gt;15000,"High","Low")</f>
        <v>Low</v>
      </c>
    </row>
    <row r="472" spans="1:11" x14ac:dyDescent="0.35">
      <c r="A472">
        <v>27</v>
      </c>
      <c r="B472" t="s">
        <v>7</v>
      </c>
      <c r="C472">
        <v>32.67</v>
      </c>
      <c r="D472">
        <v>0</v>
      </c>
      <c r="E472" t="s">
        <v>4</v>
      </c>
      <c r="F472" t="s">
        <v>5</v>
      </c>
      <c r="G472" s="2">
        <v>2497.0383000000002</v>
      </c>
      <c r="H472" s="1" t="str">
        <f>IF(A472&lt;31,"18-30",IF(A472&lt;46,"31-45",IF(A472&lt;61,"46-60","60+")))</f>
        <v>18-30</v>
      </c>
      <c r="I472" t="str">
        <f>IF(C472&lt;18.5,"Underweight",IF(C472&lt;25,"Normal",IF(C472&lt;30,"Overweight","Obese")))</f>
        <v>Obese</v>
      </c>
      <c r="J472">
        <f>IF(E472="yes",1,0)</f>
        <v>0</v>
      </c>
      <c r="K472" t="str">
        <f>IF(G472&gt;15000,"High","Low")</f>
        <v>Low</v>
      </c>
    </row>
    <row r="473" spans="1:11" x14ac:dyDescent="0.35">
      <c r="A473">
        <v>18</v>
      </c>
      <c r="B473" t="s">
        <v>2</v>
      </c>
      <c r="C473">
        <v>30.114999999999998</v>
      </c>
      <c r="D473">
        <v>0</v>
      </c>
      <c r="E473" t="s">
        <v>4</v>
      </c>
      <c r="F473" t="s">
        <v>6</v>
      </c>
      <c r="G473" s="2">
        <v>2203.4718499999999</v>
      </c>
      <c r="H473" s="1" t="str">
        <f>IF(A473&lt;31,"18-30",IF(A473&lt;46,"31-45",IF(A473&lt;61,"46-60","60+")))</f>
        <v>18-30</v>
      </c>
      <c r="I473" t="str">
        <f>IF(C473&lt;18.5,"Underweight",IF(C473&lt;25,"Normal",IF(C473&lt;30,"Overweight","Obese")))</f>
        <v>Obese</v>
      </c>
      <c r="J473">
        <f>IF(E473="yes",1,0)</f>
        <v>0</v>
      </c>
      <c r="K473" t="str">
        <f>IF(G473&gt;15000,"High","Low")</f>
        <v>Low</v>
      </c>
    </row>
    <row r="474" spans="1:11" x14ac:dyDescent="0.35">
      <c r="A474">
        <v>19</v>
      </c>
      <c r="B474" t="s">
        <v>2</v>
      </c>
      <c r="C474">
        <v>29.8</v>
      </c>
      <c r="D474">
        <v>0</v>
      </c>
      <c r="E474" t="s">
        <v>4</v>
      </c>
      <c r="F474" t="s">
        <v>3</v>
      </c>
      <c r="G474" s="2">
        <v>1744.4649999999999</v>
      </c>
      <c r="H474" s="1" t="str">
        <f>IF(A474&lt;31,"18-30",IF(A474&lt;46,"31-45",IF(A474&lt;61,"46-60","60+")))</f>
        <v>18-30</v>
      </c>
      <c r="I474" t="str">
        <f>IF(C474&lt;18.5,"Underweight",IF(C474&lt;25,"Normal",IF(C474&lt;30,"Overweight","Obese")))</f>
        <v>Overweight</v>
      </c>
      <c r="J474">
        <f>IF(E474="yes",1,0)</f>
        <v>0</v>
      </c>
      <c r="K474" t="str">
        <f>IF(G474&gt;15000,"High","Low")</f>
        <v>Low</v>
      </c>
    </row>
    <row r="475" spans="1:11" x14ac:dyDescent="0.35">
      <c r="A475">
        <v>47</v>
      </c>
      <c r="B475" t="s">
        <v>2</v>
      </c>
      <c r="C475">
        <v>33.344999999999999</v>
      </c>
      <c r="D475">
        <v>0</v>
      </c>
      <c r="E475" t="s">
        <v>4</v>
      </c>
      <c r="F475" t="s">
        <v>6</v>
      </c>
      <c r="G475" s="2">
        <v>20878.78443</v>
      </c>
      <c r="H475" s="1" t="str">
        <f>IF(A475&lt;31,"18-30",IF(A475&lt;46,"31-45",IF(A475&lt;61,"46-60","60+")))</f>
        <v>46-60</v>
      </c>
      <c r="I475" t="str">
        <f>IF(C475&lt;18.5,"Underweight",IF(C475&lt;25,"Normal",IF(C475&lt;30,"Overweight","Obese")))</f>
        <v>Obese</v>
      </c>
      <c r="J475">
        <f>IF(E475="yes",1,0)</f>
        <v>0</v>
      </c>
      <c r="K475" t="str">
        <f>IF(G475&gt;15000,"High","Low")</f>
        <v>High</v>
      </c>
    </row>
    <row r="476" spans="1:11" x14ac:dyDescent="0.35">
      <c r="A476">
        <v>54</v>
      </c>
      <c r="B476" t="s">
        <v>7</v>
      </c>
      <c r="C476">
        <v>25.1</v>
      </c>
      <c r="D476">
        <v>3</v>
      </c>
      <c r="E476" t="s">
        <v>1</v>
      </c>
      <c r="F476" t="s">
        <v>3</v>
      </c>
      <c r="G476" s="2">
        <v>25382.296999999999</v>
      </c>
      <c r="H476" s="1" t="str">
        <f>IF(A476&lt;31,"18-30",IF(A476&lt;46,"31-45",IF(A476&lt;61,"46-60","60+")))</f>
        <v>46-60</v>
      </c>
      <c r="I476" t="str">
        <f>IF(C476&lt;18.5,"Underweight",IF(C476&lt;25,"Normal",IF(C476&lt;30,"Overweight","Obese")))</f>
        <v>Overweight</v>
      </c>
      <c r="J476">
        <f>IF(E476="yes",1,0)</f>
        <v>1</v>
      </c>
      <c r="K476" t="str">
        <f>IF(G476&gt;15000,"High","Low")</f>
        <v>High</v>
      </c>
    </row>
    <row r="477" spans="1:11" x14ac:dyDescent="0.35">
      <c r="A477">
        <v>61</v>
      </c>
      <c r="B477" t="s">
        <v>7</v>
      </c>
      <c r="C477">
        <v>28.31</v>
      </c>
      <c r="D477">
        <v>1</v>
      </c>
      <c r="E477" t="s">
        <v>1</v>
      </c>
      <c r="F477" t="s">
        <v>0</v>
      </c>
      <c r="G477" s="2">
        <v>28868.6639</v>
      </c>
      <c r="H477" s="1" t="str">
        <f>IF(A477&lt;31,"18-30",IF(A477&lt;46,"31-45",IF(A477&lt;61,"46-60","60+")))</f>
        <v>60+</v>
      </c>
      <c r="I477" t="str">
        <f>IF(C477&lt;18.5,"Underweight",IF(C477&lt;25,"Normal",IF(C477&lt;30,"Overweight","Obese")))</f>
        <v>Overweight</v>
      </c>
      <c r="J477">
        <f>IF(E477="yes",1,0)</f>
        <v>1</v>
      </c>
      <c r="K477" t="str">
        <f>IF(G477&gt;15000,"High","Low")</f>
        <v>High</v>
      </c>
    </row>
    <row r="478" spans="1:11" x14ac:dyDescent="0.35">
      <c r="A478">
        <v>24</v>
      </c>
      <c r="B478" t="s">
        <v>7</v>
      </c>
      <c r="C478">
        <v>28.5</v>
      </c>
      <c r="D478">
        <v>0</v>
      </c>
      <c r="E478" t="s">
        <v>1</v>
      </c>
      <c r="F478" t="s">
        <v>6</v>
      </c>
      <c r="G478" s="2">
        <v>35147.528480000001</v>
      </c>
      <c r="H478" s="1" t="str">
        <f>IF(A478&lt;31,"18-30",IF(A478&lt;46,"31-45",IF(A478&lt;61,"46-60","60+")))</f>
        <v>18-30</v>
      </c>
      <c r="I478" t="str">
        <f>IF(C478&lt;18.5,"Underweight",IF(C478&lt;25,"Normal",IF(C478&lt;30,"Overweight","Obese")))</f>
        <v>Overweight</v>
      </c>
      <c r="J478">
        <f>IF(E478="yes",1,0)</f>
        <v>1</v>
      </c>
      <c r="K478" t="str">
        <f>IF(G478&gt;15000,"High","Low")</f>
        <v>High</v>
      </c>
    </row>
    <row r="479" spans="1:11" x14ac:dyDescent="0.35">
      <c r="A479">
        <v>25</v>
      </c>
      <c r="B479" t="s">
        <v>7</v>
      </c>
      <c r="C479">
        <v>35.625</v>
      </c>
      <c r="D479">
        <v>0</v>
      </c>
      <c r="E479" t="s">
        <v>4</v>
      </c>
      <c r="F479" t="s">
        <v>0</v>
      </c>
      <c r="G479" s="2">
        <v>2534.3937500000002</v>
      </c>
      <c r="H479" s="1" t="str">
        <f>IF(A479&lt;31,"18-30",IF(A479&lt;46,"31-45",IF(A479&lt;61,"46-60","60+")))</f>
        <v>18-30</v>
      </c>
      <c r="I479" t="str">
        <f>IF(C479&lt;18.5,"Underweight",IF(C479&lt;25,"Normal",IF(C479&lt;30,"Overweight","Obese")))</f>
        <v>Obese</v>
      </c>
      <c r="J479">
        <f>IF(E479="yes",1,0)</f>
        <v>0</v>
      </c>
      <c r="K479" t="str">
        <f>IF(G479&gt;15000,"High","Low")</f>
        <v>Low</v>
      </c>
    </row>
    <row r="480" spans="1:11" x14ac:dyDescent="0.35">
      <c r="A480">
        <v>21</v>
      </c>
      <c r="B480" t="s">
        <v>7</v>
      </c>
      <c r="C480">
        <v>36.85</v>
      </c>
      <c r="D480">
        <v>0</v>
      </c>
      <c r="E480" t="s">
        <v>4</v>
      </c>
      <c r="F480" t="s">
        <v>5</v>
      </c>
      <c r="G480" s="2">
        <v>1534.3045</v>
      </c>
      <c r="H480" s="1" t="str">
        <f>IF(A480&lt;31,"18-30",IF(A480&lt;46,"31-45",IF(A480&lt;61,"46-60","60+")))</f>
        <v>18-30</v>
      </c>
      <c r="I480" t="str">
        <f>IF(C480&lt;18.5,"Underweight",IF(C480&lt;25,"Normal",IF(C480&lt;30,"Overweight","Obese")))</f>
        <v>Obese</v>
      </c>
      <c r="J480">
        <f>IF(E480="yes",1,0)</f>
        <v>0</v>
      </c>
      <c r="K480" t="str">
        <f>IF(G480&gt;15000,"High","Low")</f>
        <v>Low</v>
      </c>
    </row>
    <row r="481" spans="1:11" x14ac:dyDescent="0.35">
      <c r="A481">
        <v>23</v>
      </c>
      <c r="B481" t="s">
        <v>7</v>
      </c>
      <c r="C481">
        <v>32.56</v>
      </c>
      <c r="D481">
        <v>0</v>
      </c>
      <c r="E481" t="s">
        <v>4</v>
      </c>
      <c r="F481" t="s">
        <v>5</v>
      </c>
      <c r="G481" s="2">
        <v>1824.2854</v>
      </c>
      <c r="H481" s="1" t="str">
        <f>IF(A481&lt;31,"18-30",IF(A481&lt;46,"31-45",IF(A481&lt;61,"46-60","60+")))</f>
        <v>18-30</v>
      </c>
      <c r="I481" t="str">
        <f>IF(C481&lt;18.5,"Underweight",IF(C481&lt;25,"Normal",IF(C481&lt;30,"Overweight","Obese")))</f>
        <v>Obese</v>
      </c>
      <c r="J481">
        <f>IF(E481="yes",1,0)</f>
        <v>0</v>
      </c>
      <c r="K481" t="str">
        <f>IF(G481&gt;15000,"High","Low")</f>
        <v>Low</v>
      </c>
    </row>
    <row r="482" spans="1:11" x14ac:dyDescent="0.35">
      <c r="A482">
        <v>63</v>
      </c>
      <c r="B482" t="s">
        <v>7</v>
      </c>
      <c r="C482">
        <v>41.325000000000003</v>
      </c>
      <c r="D482">
        <v>3</v>
      </c>
      <c r="E482" t="s">
        <v>4</v>
      </c>
      <c r="F482" t="s">
        <v>0</v>
      </c>
      <c r="G482" s="2">
        <v>15555.188749999999</v>
      </c>
      <c r="H482" s="1" t="str">
        <f>IF(A482&lt;31,"18-30",IF(A482&lt;46,"31-45",IF(A482&lt;61,"46-60","60+")))</f>
        <v>60+</v>
      </c>
      <c r="I482" t="str">
        <f>IF(C482&lt;18.5,"Underweight",IF(C482&lt;25,"Normal",IF(C482&lt;30,"Overweight","Obese")))</f>
        <v>Obese</v>
      </c>
      <c r="J482">
        <f>IF(E482="yes",1,0)</f>
        <v>0</v>
      </c>
      <c r="K482" t="str">
        <f>IF(G482&gt;15000,"High","Low")</f>
        <v>High</v>
      </c>
    </row>
    <row r="483" spans="1:11" x14ac:dyDescent="0.35">
      <c r="A483">
        <v>49</v>
      </c>
      <c r="B483" t="s">
        <v>7</v>
      </c>
      <c r="C483">
        <v>37.51</v>
      </c>
      <c r="D483">
        <v>2</v>
      </c>
      <c r="E483" t="s">
        <v>4</v>
      </c>
      <c r="F483" t="s">
        <v>5</v>
      </c>
      <c r="G483" s="2">
        <v>9304.7019</v>
      </c>
      <c r="H483" s="1" t="str">
        <f>IF(A483&lt;31,"18-30",IF(A483&lt;46,"31-45",IF(A483&lt;61,"46-60","60+")))</f>
        <v>46-60</v>
      </c>
      <c r="I483" t="str">
        <f>IF(C483&lt;18.5,"Underweight",IF(C483&lt;25,"Normal",IF(C483&lt;30,"Overweight","Obese")))</f>
        <v>Obese</v>
      </c>
      <c r="J483">
        <f>IF(E483="yes",1,0)</f>
        <v>0</v>
      </c>
      <c r="K483" t="str">
        <f>IF(G483&gt;15000,"High","Low")</f>
        <v>Low</v>
      </c>
    </row>
    <row r="484" spans="1:11" x14ac:dyDescent="0.35">
      <c r="A484">
        <v>18</v>
      </c>
      <c r="B484" t="s">
        <v>2</v>
      </c>
      <c r="C484">
        <v>31.35</v>
      </c>
      <c r="D484">
        <v>0</v>
      </c>
      <c r="E484" t="s">
        <v>4</v>
      </c>
      <c r="F484" t="s">
        <v>5</v>
      </c>
      <c r="G484" s="2">
        <v>1622.1885</v>
      </c>
      <c r="H484" s="1" t="str">
        <f>IF(A484&lt;31,"18-30",IF(A484&lt;46,"31-45",IF(A484&lt;61,"46-60","60+")))</f>
        <v>18-30</v>
      </c>
      <c r="I484" t="str">
        <f>IF(C484&lt;18.5,"Underweight",IF(C484&lt;25,"Normal",IF(C484&lt;30,"Overweight","Obese")))</f>
        <v>Obese</v>
      </c>
      <c r="J484">
        <f>IF(E484="yes",1,0)</f>
        <v>0</v>
      </c>
      <c r="K484" t="str">
        <f>IF(G484&gt;15000,"High","Low")</f>
        <v>Low</v>
      </c>
    </row>
    <row r="485" spans="1:11" x14ac:dyDescent="0.35">
      <c r="A485">
        <v>51</v>
      </c>
      <c r="B485" t="s">
        <v>2</v>
      </c>
      <c r="C485">
        <v>39.5</v>
      </c>
      <c r="D485">
        <v>1</v>
      </c>
      <c r="E485" t="s">
        <v>4</v>
      </c>
      <c r="F485" t="s">
        <v>3</v>
      </c>
      <c r="G485" s="2">
        <v>9880.0679999999993</v>
      </c>
      <c r="H485" s="1" t="str">
        <f>IF(A485&lt;31,"18-30",IF(A485&lt;46,"31-45",IF(A485&lt;61,"46-60","60+")))</f>
        <v>46-60</v>
      </c>
      <c r="I485" t="str">
        <f>IF(C485&lt;18.5,"Underweight",IF(C485&lt;25,"Normal",IF(C485&lt;30,"Overweight","Obese")))</f>
        <v>Obese</v>
      </c>
      <c r="J485">
        <f>IF(E485="yes",1,0)</f>
        <v>0</v>
      </c>
      <c r="K485" t="str">
        <f>IF(G485&gt;15000,"High","Low")</f>
        <v>Low</v>
      </c>
    </row>
    <row r="486" spans="1:11" x14ac:dyDescent="0.35">
      <c r="A486">
        <v>48</v>
      </c>
      <c r="B486" t="s">
        <v>7</v>
      </c>
      <c r="C486">
        <v>34.299999999999997</v>
      </c>
      <c r="D486">
        <v>3</v>
      </c>
      <c r="E486" t="s">
        <v>4</v>
      </c>
      <c r="F486" t="s">
        <v>3</v>
      </c>
      <c r="G486" s="2">
        <v>9563.0290000000005</v>
      </c>
      <c r="H486" s="1" t="str">
        <f>IF(A486&lt;31,"18-30",IF(A486&lt;46,"31-45",IF(A486&lt;61,"46-60","60+")))</f>
        <v>46-60</v>
      </c>
      <c r="I486" t="str">
        <f>IF(C486&lt;18.5,"Underweight",IF(C486&lt;25,"Normal",IF(C486&lt;30,"Overweight","Obese")))</f>
        <v>Obese</v>
      </c>
      <c r="J486">
        <f>IF(E486="yes",1,0)</f>
        <v>0</v>
      </c>
      <c r="K486" t="str">
        <f>IF(G486&gt;15000,"High","Low")</f>
        <v>Low</v>
      </c>
    </row>
    <row r="487" spans="1:11" x14ac:dyDescent="0.35">
      <c r="A487">
        <v>31</v>
      </c>
      <c r="B487" t="s">
        <v>2</v>
      </c>
      <c r="C487">
        <v>31.065000000000001</v>
      </c>
      <c r="D487">
        <v>0</v>
      </c>
      <c r="E487" t="s">
        <v>4</v>
      </c>
      <c r="F487" t="s">
        <v>6</v>
      </c>
      <c r="G487" s="2">
        <v>4347.0233500000004</v>
      </c>
      <c r="H487" s="1" t="str">
        <f>IF(A487&lt;31,"18-30",IF(A487&lt;46,"31-45",IF(A487&lt;61,"46-60","60+")))</f>
        <v>31-45</v>
      </c>
      <c r="I487" t="str">
        <f>IF(C487&lt;18.5,"Underweight",IF(C487&lt;25,"Normal",IF(C487&lt;30,"Overweight","Obese")))</f>
        <v>Obese</v>
      </c>
      <c r="J487">
        <f>IF(E487="yes",1,0)</f>
        <v>0</v>
      </c>
      <c r="K487" t="str">
        <f>IF(G487&gt;15000,"High","Low")</f>
        <v>Low</v>
      </c>
    </row>
    <row r="488" spans="1:11" x14ac:dyDescent="0.35">
      <c r="A488">
        <v>54</v>
      </c>
      <c r="B488" t="s">
        <v>2</v>
      </c>
      <c r="C488">
        <v>21.47</v>
      </c>
      <c r="D488">
        <v>3</v>
      </c>
      <c r="E488" t="s">
        <v>4</v>
      </c>
      <c r="F488" t="s">
        <v>0</v>
      </c>
      <c r="G488" s="2">
        <v>12475.3513</v>
      </c>
      <c r="H488" s="1" t="str">
        <f>IF(A488&lt;31,"18-30",IF(A488&lt;46,"31-45",IF(A488&lt;61,"46-60","60+")))</f>
        <v>46-60</v>
      </c>
      <c r="I488" t="str">
        <f>IF(C488&lt;18.5,"Underweight",IF(C488&lt;25,"Normal",IF(C488&lt;30,"Overweight","Obese")))</f>
        <v>Normal</v>
      </c>
      <c r="J488">
        <f>IF(E488="yes",1,0)</f>
        <v>0</v>
      </c>
      <c r="K488" t="str">
        <f>IF(G488&gt;15000,"High","Low")</f>
        <v>Low</v>
      </c>
    </row>
    <row r="489" spans="1:11" x14ac:dyDescent="0.35">
      <c r="A489">
        <v>19</v>
      </c>
      <c r="B489" t="s">
        <v>7</v>
      </c>
      <c r="C489">
        <v>28.7</v>
      </c>
      <c r="D489">
        <v>0</v>
      </c>
      <c r="E489" t="s">
        <v>4</v>
      </c>
      <c r="F489" t="s">
        <v>3</v>
      </c>
      <c r="G489" s="2">
        <v>1253.9359999999999</v>
      </c>
      <c r="H489" s="1" t="str">
        <f>IF(A489&lt;31,"18-30",IF(A489&lt;46,"31-45",IF(A489&lt;61,"46-60","60+")))</f>
        <v>18-30</v>
      </c>
      <c r="I489" t="str">
        <f>IF(C489&lt;18.5,"Underweight",IF(C489&lt;25,"Normal",IF(C489&lt;30,"Overweight","Obese")))</f>
        <v>Overweight</v>
      </c>
      <c r="J489">
        <f>IF(E489="yes",1,0)</f>
        <v>0</v>
      </c>
      <c r="K489" t="str">
        <f>IF(G489&gt;15000,"High","Low")</f>
        <v>Low</v>
      </c>
    </row>
    <row r="490" spans="1:11" x14ac:dyDescent="0.35">
      <c r="A490">
        <v>44</v>
      </c>
      <c r="B490" t="s">
        <v>2</v>
      </c>
      <c r="C490">
        <v>38.06</v>
      </c>
      <c r="D490">
        <v>0</v>
      </c>
      <c r="E490" t="s">
        <v>1</v>
      </c>
      <c r="F490" t="s">
        <v>5</v>
      </c>
      <c r="G490" s="2">
        <v>48885.135609999998</v>
      </c>
      <c r="H490" s="1" t="str">
        <f>IF(A490&lt;31,"18-30",IF(A490&lt;46,"31-45",IF(A490&lt;61,"46-60","60+")))</f>
        <v>31-45</v>
      </c>
      <c r="I490" t="str">
        <f>IF(C490&lt;18.5,"Underweight",IF(C490&lt;25,"Normal",IF(C490&lt;30,"Overweight","Obese")))</f>
        <v>Obese</v>
      </c>
      <c r="J490">
        <f>IF(E490="yes",1,0)</f>
        <v>1</v>
      </c>
      <c r="K490" t="str">
        <f>IF(G490&gt;15000,"High","Low")</f>
        <v>High</v>
      </c>
    </row>
    <row r="491" spans="1:11" x14ac:dyDescent="0.35">
      <c r="A491">
        <v>53</v>
      </c>
      <c r="B491" t="s">
        <v>7</v>
      </c>
      <c r="C491">
        <v>31.16</v>
      </c>
      <c r="D491">
        <v>1</v>
      </c>
      <c r="E491" t="s">
        <v>4</v>
      </c>
      <c r="F491" t="s">
        <v>0</v>
      </c>
      <c r="G491" s="2">
        <v>10461.9794</v>
      </c>
      <c r="H491" s="1" t="str">
        <f>IF(A491&lt;31,"18-30",IF(A491&lt;46,"31-45",IF(A491&lt;61,"46-60","60+")))</f>
        <v>46-60</v>
      </c>
      <c r="I491" t="str">
        <f>IF(C491&lt;18.5,"Underweight",IF(C491&lt;25,"Normal",IF(C491&lt;30,"Overweight","Obese")))</f>
        <v>Obese</v>
      </c>
      <c r="J491">
        <f>IF(E491="yes",1,0)</f>
        <v>0</v>
      </c>
      <c r="K491" t="str">
        <f>IF(G491&gt;15000,"High","Low")</f>
        <v>Low</v>
      </c>
    </row>
    <row r="492" spans="1:11" x14ac:dyDescent="0.35">
      <c r="A492">
        <v>19</v>
      </c>
      <c r="B492" t="s">
        <v>2</v>
      </c>
      <c r="C492">
        <v>32.9</v>
      </c>
      <c r="D492">
        <v>0</v>
      </c>
      <c r="E492" t="s">
        <v>4</v>
      </c>
      <c r="F492" t="s">
        <v>3</v>
      </c>
      <c r="G492" s="2">
        <v>1748.7739999999999</v>
      </c>
      <c r="H492" s="1" t="str">
        <f>IF(A492&lt;31,"18-30",IF(A492&lt;46,"31-45",IF(A492&lt;61,"46-60","60+")))</f>
        <v>18-30</v>
      </c>
      <c r="I492" t="str">
        <f>IF(C492&lt;18.5,"Underweight",IF(C492&lt;25,"Normal",IF(C492&lt;30,"Overweight","Obese")))</f>
        <v>Obese</v>
      </c>
      <c r="J492">
        <f>IF(E492="yes",1,0)</f>
        <v>0</v>
      </c>
      <c r="K492" t="str">
        <f>IF(G492&gt;15000,"High","Low")</f>
        <v>Low</v>
      </c>
    </row>
    <row r="493" spans="1:11" x14ac:dyDescent="0.35">
      <c r="A493">
        <v>61</v>
      </c>
      <c r="B493" t="s">
        <v>2</v>
      </c>
      <c r="C493">
        <v>25.08</v>
      </c>
      <c r="D493">
        <v>0</v>
      </c>
      <c r="E493" t="s">
        <v>4</v>
      </c>
      <c r="F493" t="s">
        <v>5</v>
      </c>
      <c r="G493" s="2">
        <v>24513.091260000001</v>
      </c>
      <c r="H493" s="1" t="str">
        <f>IF(A493&lt;31,"18-30",IF(A493&lt;46,"31-45",IF(A493&lt;61,"46-60","60+")))</f>
        <v>60+</v>
      </c>
      <c r="I493" t="str">
        <f>IF(C493&lt;18.5,"Underweight",IF(C493&lt;25,"Normal",IF(C493&lt;30,"Overweight","Obese")))</f>
        <v>Overweight</v>
      </c>
      <c r="J493">
        <f>IF(E493="yes",1,0)</f>
        <v>0</v>
      </c>
      <c r="K493" t="str">
        <f>IF(G493&gt;15000,"High","Low")</f>
        <v>High</v>
      </c>
    </row>
    <row r="494" spans="1:11" x14ac:dyDescent="0.35">
      <c r="A494">
        <v>18</v>
      </c>
      <c r="B494" t="s">
        <v>2</v>
      </c>
      <c r="C494">
        <v>25.08</v>
      </c>
      <c r="D494">
        <v>0</v>
      </c>
      <c r="E494" t="s">
        <v>4</v>
      </c>
      <c r="F494" t="s">
        <v>6</v>
      </c>
      <c r="G494" s="2">
        <v>2196.4731999999999</v>
      </c>
      <c r="H494" s="1" t="str">
        <f>IF(A494&lt;31,"18-30",IF(A494&lt;46,"31-45",IF(A494&lt;61,"46-60","60+")))</f>
        <v>18-30</v>
      </c>
      <c r="I494" t="str">
        <f>IF(C494&lt;18.5,"Underweight",IF(C494&lt;25,"Normal",IF(C494&lt;30,"Overweight","Obese")))</f>
        <v>Overweight</v>
      </c>
      <c r="J494">
        <f>IF(E494="yes",1,0)</f>
        <v>0</v>
      </c>
      <c r="K494" t="str">
        <f>IF(G494&gt;15000,"High","Low")</f>
        <v>Low</v>
      </c>
    </row>
    <row r="495" spans="1:11" x14ac:dyDescent="0.35">
      <c r="A495">
        <v>61</v>
      </c>
      <c r="B495" t="s">
        <v>7</v>
      </c>
      <c r="C495">
        <v>43.4</v>
      </c>
      <c r="D495">
        <v>0</v>
      </c>
      <c r="E495" t="s">
        <v>4</v>
      </c>
      <c r="F495" t="s">
        <v>3</v>
      </c>
      <c r="G495" s="2">
        <v>12574.049000000001</v>
      </c>
      <c r="H495" s="1" t="str">
        <f>IF(A495&lt;31,"18-30",IF(A495&lt;46,"31-45",IF(A495&lt;61,"46-60","60+")))</f>
        <v>60+</v>
      </c>
      <c r="I495" t="str">
        <f>IF(C495&lt;18.5,"Underweight",IF(C495&lt;25,"Normal",IF(C495&lt;30,"Overweight","Obese")))</f>
        <v>Obese</v>
      </c>
      <c r="J495">
        <f>IF(E495="yes",1,0)</f>
        <v>0</v>
      </c>
      <c r="K495" t="str">
        <f>IF(G495&gt;15000,"High","Low")</f>
        <v>Low</v>
      </c>
    </row>
    <row r="496" spans="1:11" x14ac:dyDescent="0.35">
      <c r="A496">
        <v>21</v>
      </c>
      <c r="B496" t="s">
        <v>7</v>
      </c>
      <c r="C496">
        <v>25.7</v>
      </c>
      <c r="D496">
        <v>4</v>
      </c>
      <c r="E496" t="s">
        <v>1</v>
      </c>
      <c r="F496" t="s">
        <v>3</v>
      </c>
      <c r="G496" s="2">
        <v>17942.106</v>
      </c>
      <c r="H496" s="1" t="str">
        <f>IF(A496&lt;31,"18-30",IF(A496&lt;46,"31-45",IF(A496&lt;61,"46-60","60+")))</f>
        <v>18-30</v>
      </c>
      <c r="I496" t="str">
        <f>IF(C496&lt;18.5,"Underweight",IF(C496&lt;25,"Normal",IF(C496&lt;30,"Overweight","Obese")))</f>
        <v>Overweight</v>
      </c>
      <c r="J496">
        <f>IF(E496="yes",1,0)</f>
        <v>1</v>
      </c>
      <c r="K496" t="str">
        <f>IF(G496&gt;15000,"High","Low")</f>
        <v>High</v>
      </c>
    </row>
    <row r="497" spans="1:11" x14ac:dyDescent="0.35">
      <c r="A497">
        <v>20</v>
      </c>
      <c r="B497" t="s">
        <v>7</v>
      </c>
      <c r="C497">
        <v>27.93</v>
      </c>
      <c r="D497">
        <v>0</v>
      </c>
      <c r="E497" t="s">
        <v>4</v>
      </c>
      <c r="F497" t="s">
        <v>6</v>
      </c>
      <c r="G497" s="2">
        <v>1967.0227</v>
      </c>
      <c r="H497" s="1" t="str">
        <f>IF(A497&lt;31,"18-30",IF(A497&lt;46,"31-45",IF(A497&lt;61,"46-60","60+")))</f>
        <v>18-30</v>
      </c>
      <c r="I497" t="str">
        <f>IF(C497&lt;18.5,"Underweight",IF(C497&lt;25,"Normal",IF(C497&lt;30,"Overweight","Obese")))</f>
        <v>Overweight</v>
      </c>
      <c r="J497">
        <f>IF(E497="yes",1,0)</f>
        <v>0</v>
      </c>
      <c r="K497" t="str">
        <f>IF(G497&gt;15000,"High","Low")</f>
        <v>Low</v>
      </c>
    </row>
    <row r="498" spans="1:11" x14ac:dyDescent="0.35">
      <c r="A498">
        <v>31</v>
      </c>
      <c r="B498" t="s">
        <v>2</v>
      </c>
      <c r="C498">
        <v>23.6</v>
      </c>
      <c r="D498">
        <v>2</v>
      </c>
      <c r="E498" t="s">
        <v>4</v>
      </c>
      <c r="F498" t="s">
        <v>3</v>
      </c>
      <c r="G498" s="2">
        <v>4931.6469999999999</v>
      </c>
      <c r="H498" s="1" t="str">
        <f>IF(A498&lt;31,"18-30",IF(A498&lt;46,"31-45",IF(A498&lt;61,"46-60","60+")))</f>
        <v>31-45</v>
      </c>
      <c r="I498" t="str">
        <f>IF(C498&lt;18.5,"Underweight",IF(C498&lt;25,"Normal",IF(C498&lt;30,"Overweight","Obese")))</f>
        <v>Normal</v>
      </c>
      <c r="J498">
        <f>IF(E498="yes",1,0)</f>
        <v>0</v>
      </c>
      <c r="K498" t="str">
        <f>IF(G498&gt;15000,"High","Low")</f>
        <v>Low</v>
      </c>
    </row>
    <row r="499" spans="1:11" x14ac:dyDescent="0.35">
      <c r="A499">
        <v>45</v>
      </c>
      <c r="B499" t="s">
        <v>7</v>
      </c>
      <c r="C499">
        <v>28.7</v>
      </c>
      <c r="D499">
        <v>2</v>
      </c>
      <c r="E499" t="s">
        <v>4</v>
      </c>
      <c r="F499" t="s">
        <v>3</v>
      </c>
      <c r="G499" s="2">
        <v>8027.9679999999998</v>
      </c>
      <c r="H499" s="1" t="str">
        <f>IF(A499&lt;31,"18-30",IF(A499&lt;46,"31-45",IF(A499&lt;61,"46-60","60+")))</f>
        <v>31-45</v>
      </c>
      <c r="I499" t="str">
        <f>IF(C499&lt;18.5,"Underweight",IF(C499&lt;25,"Normal",IF(C499&lt;30,"Overweight","Obese")))</f>
        <v>Overweight</v>
      </c>
      <c r="J499">
        <f>IF(E499="yes",1,0)</f>
        <v>0</v>
      </c>
      <c r="K499" t="str">
        <f>IF(G499&gt;15000,"High","Low")</f>
        <v>Low</v>
      </c>
    </row>
    <row r="500" spans="1:11" x14ac:dyDescent="0.35">
      <c r="A500">
        <v>44</v>
      </c>
      <c r="B500" t="s">
        <v>2</v>
      </c>
      <c r="C500">
        <v>23.98</v>
      </c>
      <c r="D500">
        <v>2</v>
      </c>
      <c r="E500" t="s">
        <v>4</v>
      </c>
      <c r="F500" t="s">
        <v>5</v>
      </c>
      <c r="G500" s="2">
        <v>8211.1002000000008</v>
      </c>
      <c r="H500" s="1" t="str">
        <f>IF(A500&lt;31,"18-30",IF(A500&lt;46,"31-45",IF(A500&lt;61,"46-60","60+")))</f>
        <v>31-45</v>
      </c>
      <c r="I500" t="str">
        <f>IF(C500&lt;18.5,"Underweight",IF(C500&lt;25,"Normal",IF(C500&lt;30,"Overweight","Obese")))</f>
        <v>Normal</v>
      </c>
      <c r="J500">
        <f>IF(E500="yes",1,0)</f>
        <v>0</v>
      </c>
      <c r="K500" t="str">
        <f>IF(G500&gt;15000,"High","Low")</f>
        <v>Low</v>
      </c>
    </row>
    <row r="501" spans="1:11" x14ac:dyDescent="0.35">
      <c r="A501">
        <v>62</v>
      </c>
      <c r="B501" t="s">
        <v>2</v>
      </c>
      <c r="C501">
        <v>39.200000000000003</v>
      </c>
      <c r="D501">
        <v>0</v>
      </c>
      <c r="E501" t="s">
        <v>4</v>
      </c>
      <c r="F501" t="s">
        <v>3</v>
      </c>
      <c r="G501" s="2">
        <v>13470.86</v>
      </c>
      <c r="H501" s="1" t="str">
        <f>IF(A501&lt;31,"18-30",IF(A501&lt;46,"31-45",IF(A501&lt;61,"46-60","60+")))</f>
        <v>60+</v>
      </c>
      <c r="I501" t="str">
        <f>IF(C501&lt;18.5,"Underweight",IF(C501&lt;25,"Normal",IF(C501&lt;30,"Overweight","Obese")))</f>
        <v>Obese</v>
      </c>
      <c r="J501">
        <f>IF(E501="yes",1,0)</f>
        <v>0</v>
      </c>
      <c r="K501" t="str">
        <f>IF(G501&gt;15000,"High","Low")</f>
        <v>Low</v>
      </c>
    </row>
    <row r="502" spans="1:11" x14ac:dyDescent="0.35">
      <c r="A502">
        <v>29</v>
      </c>
      <c r="B502" t="s">
        <v>7</v>
      </c>
      <c r="C502">
        <v>34.4</v>
      </c>
      <c r="D502">
        <v>0</v>
      </c>
      <c r="E502" t="s">
        <v>1</v>
      </c>
      <c r="F502" t="s">
        <v>3</v>
      </c>
      <c r="G502" s="2">
        <v>36197.699000000001</v>
      </c>
      <c r="H502" s="1" t="str">
        <f>IF(A502&lt;31,"18-30",IF(A502&lt;46,"31-45",IF(A502&lt;61,"46-60","60+")))</f>
        <v>18-30</v>
      </c>
      <c r="I502" t="str">
        <f>IF(C502&lt;18.5,"Underweight",IF(C502&lt;25,"Normal",IF(C502&lt;30,"Overweight","Obese")))</f>
        <v>Obese</v>
      </c>
      <c r="J502">
        <f>IF(E502="yes",1,0)</f>
        <v>1</v>
      </c>
      <c r="K502" t="str">
        <f>IF(G502&gt;15000,"High","Low")</f>
        <v>High</v>
      </c>
    </row>
    <row r="503" spans="1:11" x14ac:dyDescent="0.35">
      <c r="A503">
        <v>43</v>
      </c>
      <c r="B503" t="s">
        <v>7</v>
      </c>
      <c r="C503">
        <v>26.03</v>
      </c>
      <c r="D503">
        <v>0</v>
      </c>
      <c r="E503" t="s">
        <v>4</v>
      </c>
      <c r="F503" t="s">
        <v>6</v>
      </c>
      <c r="G503" s="2">
        <v>6837.3687</v>
      </c>
      <c r="H503" s="1" t="str">
        <f>IF(A503&lt;31,"18-30",IF(A503&lt;46,"31-45",IF(A503&lt;61,"46-60","60+")))</f>
        <v>31-45</v>
      </c>
      <c r="I503" t="str">
        <f>IF(C503&lt;18.5,"Underweight",IF(C503&lt;25,"Normal",IF(C503&lt;30,"Overweight","Obese")))</f>
        <v>Overweight</v>
      </c>
      <c r="J503">
        <f>IF(E503="yes",1,0)</f>
        <v>0</v>
      </c>
      <c r="K503" t="str">
        <f>IF(G503&gt;15000,"High","Low")</f>
        <v>Low</v>
      </c>
    </row>
    <row r="504" spans="1:11" x14ac:dyDescent="0.35">
      <c r="A504">
        <v>51</v>
      </c>
      <c r="B504" t="s">
        <v>7</v>
      </c>
      <c r="C504">
        <v>23.21</v>
      </c>
      <c r="D504">
        <v>1</v>
      </c>
      <c r="E504" t="s">
        <v>1</v>
      </c>
      <c r="F504" t="s">
        <v>5</v>
      </c>
      <c r="G504" s="2">
        <v>22218.1149</v>
      </c>
      <c r="H504" s="1" t="str">
        <f>IF(A504&lt;31,"18-30",IF(A504&lt;46,"31-45",IF(A504&lt;61,"46-60","60+")))</f>
        <v>46-60</v>
      </c>
      <c r="I504" t="str">
        <f>IF(C504&lt;18.5,"Underweight",IF(C504&lt;25,"Normal",IF(C504&lt;30,"Overweight","Obese")))</f>
        <v>Normal</v>
      </c>
      <c r="J504">
        <f>IF(E504="yes",1,0)</f>
        <v>1</v>
      </c>
      <c r="K504" t="str">
        <f>IF(G504&gt;15000,"High","Low")</f>
        <v>High</v>
      </c>
    </row>
    <row r="505" spans="1:11" x14ac:dyDescent="0.35">
      <c r="A505">
        <v>19</v>
      </c>
      <c r="B505" t="s">
        <v>7</v>
      </c>
      <c r="C505">
        <v>30.25</v>
      </c>
      <c r="D505">
        <v>0</v>
      </c>
      <c r="E505" t="s">
        <v>1</v>
      </c>
      <c r="F505" t="s">
        <v>5</v>
      </c>
      <c r="G505" s="2">
        <v>32548.340499999998</v>
      </c>
      <c r="H505" s="1" t="str">
        <f>IF(A505&lt;31,"18-30",IF(A505&lt;46,"31-45",IF(A505&lt;61,"46-60","60+")))</f>
        <v>18-30</v>
      </c>
      <c r="I505" t="str">
        <f>IF(C505&lt;18.5,"Underweight",IF(C505&lt;25,"Normal",IF(C505&lt;30,"Overweight","Obese")))</f>
        <v>Obese</v>
      </c>
      <c r="J505">
        <f>IF(E505="yes",1,0)</f>
        <v>1</v>
      </c>
      <c r="K505" t="str">
        <f>IF(G505&gt;15000,"High","Low")</f>
        <v>High</v>
      </c>
    </row>
    <row r="506" spans="1:11" x14ac:dyDescent="0.35">
      <c r="A506">
        <v>38</v>
      </c>
      <c r="B506" t="s">
        <v>2</v>
      </c>
      <c r="C506">
        <v>28.93</v>
      </c>
      <c r="D506">
        <v>1</v>
      </c>
      <c r="E506" t="s">
        <v>4</v>
      </c>
      <c r="F506" t="s">
        <v>5</v>
      </c>
      <c r="G506" s="2">
        <v>5974.3846999999996</v>
      </c>
      <c r="H506" s="1" t="str">
        <f>IF(A506&lt;31,"18-30",IF(A506&lt;46,"31-45",IF(A506&lt;61,"46-60","60+")))</f>
        <v>31-45</v>
      </c>
      <c r="I506" t="str">
        <f>IF(C506&lt;18.5,"Underweight",IF(C506&lt;25,"Normal",IF(C506&lt;30,"Overweight","Obese")))</f>
        <v>Overweight</v>
      </c>
      <c r="J506">
        <f>IF(E506="yes",1,0)</f>
        <v>0</v>
      </c>
      <c r="K506" t="str">
        <f>IF(G506&gt;15000,"High","Low")</f>
        <v>Low</v>
      </c>
    </row>
    <row r="507" spans="1:11" x14ac:dyDescent="0.35">
      <c r="A507">
        <v>37</v>
      </c>
      <c r="B507" t="s">
        <v>7</v>
      </c>
      <c r="C507">
        <v>30.875</v>
      </c>
      <c r="D507">
        <v>3</v>
      </c>
      <c r="E507" t="s">
        <v>4</v>
      </c>
      <c r="F507" t="s">
        <v>0</v>
      </c>
      <c r="G507" s="2">
        <v>6796.8632500000003</v>
      </c>
      <c r="H507" s="1" t="str">
        <f>IF(A507&lt;31,"18-30",IF(A507&lt;46,"31-45",IF(A507&lt;61,"46-60","60+")))</f>
        <v>31-45</v>
      </c>
      <c r="I507" t="str">
        <f>IF(C507&lt;18.5,"Underweight",IF(C507&lt;25,"Normal",IF(C507&lt;30,"Overweight","Obese")))</f>
        <v>Obese</v>
      </c>
      <c r="J507">
        <f>IF(E507="yes",1,0)</f>
        <v>0</v>
      </c>
      <c r="K507" t="str">
        <f>IF(G507&gt;15000,"High","Low")</f>
        <v>Low</v>
      </c>
    </row>
    <row r="508" spans="1:11" x14ac:dyDescent="0.35">
      <c r="A508">
        <v>22</v>
      </c>
      <c r="B508" t="s">
        <v>7</v>
      </c>
      <c r="C508">
        <v>31.35</v>
      </c>
      <c r="D508">
        <v>1</v>
      </c>
      <c r="E508" t="s">
        <v>4</v>
      </c>
      <c r="F508" t="s">
        <v>0</v>
      </c>
      <c r="G508" s="2">
        <v>2643.2685000000001</v>
      </c>
      <c r="H508" s="1" t="str">
        <f>IF(A508&lt;31,"18-30",IF(A508&lt;46,"31-45",IF(A508&lt;61,"46-60","60+")))</f>
        <v>18-30</v>
      </c>
      <c r="I508" t="str">
        <f>IF(C508&lt;18.5,"Underweight",IF(C508&lt;25,"Normal",IF(C508&lt;30,"Overweight","Obese")))</f>
        <v>Obese</v>
      </c>
      <c r="J508">
        <f>IF(E508="yes",1,0)</f>
        <v>0</v>
      </c>
      <c r="K508" t="str">
        <f>IF(G508&gt;15000,"High","Low")</f>
        <v>Low</v>
      </c>
    </row>
    <row r="509" spans="1:11" x14ac:dyDescent="0.35">
      <c r="A509">
        <v>21</v>
      </c>
      <c r="B509" t="s">
        <v>7</v>
      </c>
      <c r="C509">
        <v>23.75</v>
      </c>
      <c r="D509">
        <v>2</v>
      </c>
      <c r="E509" t="s">
        <v>4</v>
      </c>
      <c r="F509" t="s">
        <v>0</v>
      </c>
      <c r="G509" s="2">
        <v>3077.0954999999999</v>
      </c>
      <c r="H509" s="1" t="str">
        <f>IF(A509&lt;31,"18-30",IF(A509&lt;46,"31-45",IF(A509&lt;61,"46-60","60+")))</f>
        <v>18-30</v>
      </c>
      <c r="I509" t="str">
        <f>IF(C509&lt;18.5,"Underweight",IF(C509&lt;25,"Normal",IF(C509&lt;30,"Overweight","Obese")))</f>
        <v>Normal</v>
      </c>
      <c r="J509">
        <f>IF(E509="yes",1,0)</f>
        <v>0</v>
      </c>
      <c r="K509" t="str">
        <f>IF(G509&gt;15000,"High","Low")</f>
        <v>Low</v>
      </c>
    </row>
    <row r="510" spans="1:11" x14ac:dyDescent="0.35">
      <c r="A510">
        <v>24</v>
      </c>
      <c r="B510" t="s">
        <v>2</v>
      </c>
      <c r="C510">
        <v>25.27</v>
      </c>
      <c r="D510">
        <v>0</v>
      </c>
      <c r="E510" t="s">
        <v>4</v>
      </c>
      <c r="F510" t="s">
        <v>6</v>
      </c>
      <c r="G510" s="2">
        <v>3044.2132999999999</v>
      </c>
      <c r="H510" s="1" t="str">
        <f>IF(A510&lt;31,"18-30",IF(A510&lt;46,"31-45",IF(A510&lt;61,"46-60","60+")))</f>
        <v>18-30</v>
      </c>
      <c r="I510" t="str">
        <f>IF(C510&lt;18.5,"Underweight",IF(C510&lt;25,"Normal",IF(C510&lt;30,"Overweight","Obese")))</f>
        <v>Overweight</v>
      </c>
      <c r="J510">
        <f>IF(E510="yes",1,0)</f>
        <v>0</v>
      </c>
      <c r="K510" t="str">
        <f>IF(G510&gt;15000,"High","Low")</f>
        <v>Low</v>
      </c>
    </row>
    <row r="511" spans="1:11" x14ac:dyDescent="0.35">
      <c r="A511">
        <v>57</v>
      </c>
      <c r="B511" t="s">
        <v>2</v>
      </c>
      <c r="C511">
        <v>28.7</v>
      </c>
      <c r="D511">
        <v>0</v>
      </c>
      <c r="E511" t="s">
        <v>4</v>
      </c>
      <c r="F511" t="s">
        <v>3</v>
      </c>
      <c r="G511" s="2">
        <v>11455.28</v>
      </c>
      <c r="H511" s="1" t="str">
        <f>IF(A511&lt;31,"18-30",IF(A511&lt;46,"31-45",IF(A511&lt;61,"46-60","60+")))</f>
        <v>46-60</v>
      </c>
      <c r="I511" t="str">
        <f>IF(C511&lt;18.5,"Underweight",IF(C511&lt;25,"Normal",IF(C511&lt;30,"Overweight","Obese")))</f>
        <v>Overweight</v>
      </c>
      <c r="J511">
        <f>IF(E511="yes",1,0)</f>
        <v>0</v>
      </c>
      <c r="K511" t="str">
        <f>IF(G511&gt;15000,"High","Low")</f>
        <v>Low</v>
      </c>
    </row>
    <row r="512" spans="1:11" x14ac:dyDescent="0.35">
      <c r="A512">
        <v>56</v>
      </c>
      <c r="B512" t="s">
        <v>7</v>
      </c>
      <c r="C512">
        <v>32.11</v>
      </c>
      <c r="D512">
        <v>1</v>
      </c>
      <c r="E512" t="s">
        <v>4</v>
      </c>
      <c r="F512" t="s">
        <v>6</v>
      </c>
      <c r="G512" s="2">
        <v>11763.000899999999</v>
      </c>
      <c r="H512" s="1" t="str">
        <f>IF(A512&lt;31,"18-30",IF(A512&lt;46,"31-45",IF(A512&lt;61,"46-60","60+")))</f>
        <v>46-60</v>
      </c>
      <c r="I512" t="str">
        <f>IF(C512&lt;18.5,"Underweight",IF(C512&lt;25,"Normal",IF(C512&lt;30,"Overweight","Obese")))</f>
        <v>Obese</v>
      </c>
      <c r="J512">
        <f>IF(E512="yes",1,0)</f>
        <v>0</v>
      </c>
      <c r="K512" t="str">
        <f>IF(G512&gt;15000,"High","Low")</f>
        <v>Low</v>
      </c>
    </row>
    <row r="513" spans="1:11" x14ac:dyDescent="0.35">
      <c r="A513">
        <v>27</v>
      </c>
      <c r="B513" t="s">
        <v>7</v>
      </c>
      <c r="C513">
        <v>33.659999999999997</v>
      </c>
      <c r="D513">
        <v>0</v>
      </c>
      <c r="E513" t="s">
        <v>4</v>
      </c>
      <c r="F513" t="s">
        <v>5</v>
      </c>
      <c r="G513" s="2">
        <v>2498.4144000000001</v>
      </c>
      <c r="H513" s="1" t="str">
        <f>IF(A513&lt;31,"18-30",IF(A513&lt;46,"31-45",IF(A513&lt;61,"46-60","60+")))</f>
        <v>18-30</v>
      </c>
      <c r="I513" t="str">
        <f>IF(C513&lt;18.5,"Underweight",IF(C513&lt;25,"Normal",IF(C513&lt;30,"Overweight","Obese")))</f>
        <v>Obese</v>
      </c>
      <c r="J513">
        <f>IF(E513="yes",1,0)</f>
        <v>0</v>
      </c>
      <c r="K513" t="str">
        <f>IF(G513&gt;15000,"High","Low")</f>
        <v>Low</v>
      </c>
    </row>
    <row r="514" spans="1:11" x14ac:dyDescent="0.35">
      <c r="A514">
        <v>51</v>
      </c>
      <c r="B514" t="s">
        <v>7</v>
      </c>
      <c r="C514">
        <v>22.42</v>
      </c>
      <c r="D514">
        <v>0</v>
      </c>
      <c r="E514" t="s">
        <v>4</v>
      </c>
      <c r="F514" t="s">
        <v>6</v>
      </c>
      <c r="G514" s="2">
        <v>9361.3268000000007</v>
      </c>
      <c r="H514" s="1" t="str">
        <f>IF(A514&lt;31,"18-30",IF(A514&lt;46,"31-45",IF(A514&lt;61,"46-60","60+")))</f>
        <v>46-60</v>
      </c>
      <c r="I514" t="str">
        <f>IF(C514&lt;18.5,"Underweight",IF(C514&lt;25,"Normal",IF(C514&lt;30,"Overweight","Obese")))</f>
        <v>Normal</v>
      </c>
      <c r="J514">
        <f>IF(E514="yes",1,0)</f>
        <v>0</v>
      </c>
      <c r="K514" t="str">
        <f>IF(G514&gt;15000,"High","Low")</f>
        <v>Low</v>
      </c>
    </row>
    <row r="515" spans="1:11" x14ac:dyDescent="0.35">
      <c r="A515">
        <v>19</v>
      </c>
      <c r="B515" t="s">
        <v>7</v>
      </c>
      <c r="C515">
        <v>30.4</v>
      </c>
      <c r="D515">
        <v>0</v>
      </c>
      <c r="E515" t="s">
        <v>4</v>
      </c>
      <c r="F515" t="s">
        <v>3</v>
      </c>
      <c r="G515" s="2">
        <v>1256.299</v>
      </c>
      <c r="H515" s="1" t="str">
        <f>IF(A515&lt;31,"18-30",IF(A515&lt;46,"31-45",IF(A515&lt;61,"46-60","60+")))</f>
        <v>18-30</v>
      </c>
      <c r="I515" t="str">
        <f>IF(C515&lt;18.5,"Underweight",IF(C515&lt;25,"Normal",IF(C515&lt;30,"Overweight","Obese")))</f>
        <v>Obese</v>
      </c>
      <c r="J515">
        <f>IF(E515="yes",1,0)</f>
        <v>0</v>
      </c>
      <c r="K515" t="str">
        <f>IF(G515&gt;15000,"High","Low")</f>
        <v>Low</v>
      </c>
    </row>
    <row r="516" spans="1:11" x14ac:dyDescent="0.35">
      <c r="A516">
        <v>39</v>
      </c>
      <c r="B516" t="s">
        <v>7</v>
      </c>
      <c r="C516">
        <v>28.3</v>
      </c>
      <c r="D516">
        <v>1</v>
      </c>
      <c r="E516" t="s">
        <v>1</v>
      </c>
      <c r="F516" t="s">
        <v>3</v>
      </c>
      <c r="G516" s="2">
        <v>21082.16</v>
      </c>
      <c r="H516" s="1" t="str">
        <f>IF(A516&lt;31,"18-30",IF(A516&lt;46,"31-45",IF(A516&lt;61,"46-60","60+")))</f>
        <v>31-45</v>
      </c>
      <c r="I516" t="str">
        <f>IF(C516&lt;18.5,"Underweight",IF(C516&lt;25,"Normal",IF(C516&lt;30,"Overweight","Obese")))</f>
        <v>Overweight</v>
      </c>
      <c r="J516">
        <f>IF(E516="yes",1,0)</f>
        <v>1</v>
      </c>
      <c r="K516" t="str">
        <f>IF(G516&gt;15000,"High","Low")</f>
        <v>High</v>
      </c>
    </row>
    <row r="517" spans="1:11" x14ac:dyDescent="0.35">
      <c r="A517">
        <v>58</v>
      </c>
      <c r="B517" t="s">
        <v>7</v>
      </c>
      <c r="C517">
        <v>35.700000000000003</v>
      </c>
      <c r="D517">
        <v>0</v>
      </c>
      <c r="E517" t="s">
        <v>4</v>
      </c>
      <c r="F517" t="s">
        <v>3</v>
      </c>
      <c r="G517" s="2">
        <v>11362.754999999999</v>
      </c>
      <c r="H517" s="1" t="str">
        <f>IF(A517&lt;31,"18-30",IF(A517&lt;46,"31-45",IF(A517&lt;61,"46-60","60+")))</f>
        <v>46-60</v>
      </c>
      <c r="I517" t="str">
        <f>IF(C517&lt;18.5,"Underweight",IF(C517&lt;25,"Normal",IF(C517&lt;30,"Overweight","Obese")))</f>
        <v>Obese</v>
      </c>
      <c r="J517">
        <f>IF(E517="yes",1,0)</f>
        <v>0</v>
      </c>
      <c r="K517" t="str">
        <f>IF(G517&gt;15000,"High","Low")</f>
        <v>Low</v>
      </c>
    </row>
    <row r="518" spans="1:11" x14ac:dyDescent="0.35">
      <c r="A518">
        <v>20</v>
      </c>
      <c r="B518" t="s">
        <v>7</v>
      </c>
      <c r="C518">
        <v>35.31</v>
      </c>
      <c r="D518">
        <v>1</v>
      </c>
      <c r="E518" t="s">
        <v>4</v>
      </c>
      <c r="F518" t="s">
        <v>5</v>
      </c>
      <c r="G518" s="2">
        <v>27724.28875</v>
      </c>
      <c r="H518" s="1" t="str">
        <f>IF(A518&lt;31,"18-30",IF(A518&lt;46,"31-45",IF(A518&lt;61,"46-60","60+")))</f>
        <v>18-30</v>
      </c>
      <c r="I518" t="str">
        <f>IF(C518&lt;18.5,"Underweight",IF(C518&lt;25,"Normal",IF(C518&lt;30,"Overweight","Obese")))</f>
        <v>Obese</v>
      </c>
      <c r="J518">
        <f>IF(E518="yes",1,0)</f>
        <v>0</v>
      </c>
      <c r="K518" t="str">
        <f>IF(G518&gt;15000,"High","Low")</f>
        <v>High</v>
      </c>
    </row>
    <row r="519" spans="1:11" x14ac:dyDescent="0.35">
      <c r="A519">
        <v>45</v>
      </c>
      <c r="B519" t="s">
        <v>7</v>
      </c>
      <c r="C519">
        <v>30.495000000000001</v>
      </c>
      <c r="D519">
        <v>2</v>
      </c>
      <c r="E519" t="s">
        <v>4</v>
      </c>
      <c r="F519" t="s">
        <v>0</v>
      </c>
      <c r="G519" s="2">
        <v>8413.4630500000003</v>
      </c>
      <c r="H519" s="1" t="str">
        <f>IF(A519&lt;31,"18-30",IF(A519&lt;46,"31-45",IF(A519&lt;61,"46-60","60+")))</f>
        <v>31-45</v>
      </c>
      <c r="I519" t="str">
        <f>IF(C519&lt;18.5,"Underweight",IF(C519&lt;25,"Normal",IF(C519&lt;30,"Overweight","Obese")))</f>
        <v>Obese</v>
      </c>
      <c r="J519">
        <f>IF(E519="yes",1,0)</f>
        <v>0</v>
      </c>
      <c r="K519" t="str">
        <f>IF(G519&gt;15000,"High","Low")</f>
        <v>Low</v>
      </c>
    </row>
    <row r="520" spans="1:11" x14ac:dyDescent="0.35">
      <c r="A520">
        <v>35</v>
      </c>
      <c r="B520" t="s">
        <v>2</v>
      </c>
      <c r="C520">
        <v>31</v>
      </c>
      <c r="D520">
        <v>1</v>
      </c>
      <c r="E520" t="s">
        <v>4</v>
      </c>
      <c r="F520" t="s">
        <v>3</v>
      </c>
      <c r="G520" s="2">
        <v>5240.7650000000003</v>
      </c>
      <c r="H520" s="1" t="str">
        <f>IF(A520&lt;31,"18-30",IF(A520&lt;46,"31-45",IF(A520&lt;61,"46-60","60+")))</f>
        <v>31-45</v>
      </c>
      <c r="I520" t="str">
        <f>IF(C520&lt;18.5,"Underweight",IF(C520&lt;25,"Normal",IF(C520&lt;30,"Overweight","Obese")))</f>
        <v>Obese</v>
      </c>
      <c r="J520">
        <f>IF(E520="yes",1,0)</f>
        <v>0</v>
      </c>
      <c r="K520" t="str">
        <f>IF(G520&gt;15000,"High","Low")</f>
        <v>Low</v>
      </c>
    </row>
    <row r="521" spans="1:11" x14ac:dyDescent="0.35">
      <c r="A521">
        <v>31</v>
      </c>
      <c r="B521" t="s">
        <v>7</v>
      </c>
      <c r="C521">
        <v>30.875</v>
      </c>
      <c r="D521">
        <v>0</v>
      </c>
      <c r="E521" t="s">
        <v>4</v>
      </c>
      <c r="F521" t="s">
        <v>6</v>
      </c>
      <c r="G521" s="2">
        <v>3857.7592500000001</v>
      </c>
      <c r="H521" s="1" t="str">
        <f>IF(A521&lt;31,"18-30",IF(A521&lt;46,"31-45",IF(A521&lt;61,"46-60","60+")))</f>
        <v>31-45</v>
      </c>
      <c r="I521" t="str">
        <f>IF(C521&lt;18.5,"Underweight",IF(C521&lt;25,"Normal",IF(C521&lt;30,"Overweight","Obese")))</f>
        <v>Obese</v>
      </c>
      <c r="J521">
        <f>IF(E521="yes",1,0)</f>
        <v>0</v>
      </c>
      <c r="K521" t="str">
        <f>IF(G521&gt;15000,"High","Low")</f>
        <v>Low</v>
      </c>
    </row>
    <row r="522" spans="1:11" x14ac:dyDescent="0.35">
      <c r="A522">
        <v>50</v>
      </c>
      <c r="B522" t="s">
        <v>2</v>
      </c>
      <c r="C522">
        <v>27.36</v>
      </c>
      <c r="D522">
        <v>0</v>
      </c>
      <c r="E522" t="s">
        <v>4</v>
      </c>
      <c r="F522" t="s">
        <v>6</v>
      </c>
      <c r="G522" s="2">
        <v>25656.575260000001</v>
      </c>
      <c r="H522" s="1" t="str">
        <f>IF(A522&lt;31,"18-30",IF(A522&lt;46,"31-45",IF(A522&lt;61,"46-60","60+")))</f>
        <v>46-60</v>
      </c>
      <c r="I522" t="str">
        <f>IF(C522&lt;18.5,"Underweight",IF(C522&lt;25,"Normal",IF(C522&lt;30,"Overweight","Obese")))</f>
        <v>Overweight</v>
      </c>
      <c r="J522">
        <f>IF(E522="yes",1,0)</f>
        <v>0</v>
      </c>
      <c r="K522" t="str">
        <f>IF(G522&gt;15000,"High","Low")</f>
        <v>High</v>
      </c>
    </row>
    <row r="523" spans="1:11" x14ac:dyDescent="0.35">
      <c r="A523">
        <v>32</v>
      </c>
      <c r="B523" t="s">
        <v>2</v>
      </c>
      <c r="C523">
        <v>44.22</v>
      </c>
      <c r="D523">
        <v>0</v>
      </c>
      <c r="E523" t="s">
        <v>4</v>
      </c>
      <c r="F523" t="s">
        <v>5</v>
      </c>
      <c r="G523" s="2">
        <v>3994.1777999999999</v>
      </c>
      <c r="H523" s="1" t="str">
        <f>IF(A523&lt;31,"18-30",IF(A523&lt;46,"31-45",IF(A523&lt;61,"46-60","60+")))</f>
        <v>31-45</v>
      </c>
      <c r="I523" t="str">
        <f>IF(C523&lt;18.5,"Underweight",IF(C523&lt;25,"Normal",IF(C523&lt;30,"Overweight","Obese")))</f>
        <v>Obese</v>
      </c>
      <c r="J523">
        <f>IF(E523="yes",1,0)</f>
        <v>0</v>
      </c>
      <c r="K523" t="str">
        <f>IF(G523&gt;15000,"High","Low")</f>
        <v>Low</v>
      </c>
    </row>
    <row r="524" spans="1:11" x14ac:dyDescent="0.35">
      <c r="A524">
        <v>51</v>
      </c>
      <c r="B524" t="s">
        <v>2</v>
      </c>
      <c r="C524">
        <v>33.914999999999999</v>
      </c>
      <c r="D524">
        <v>0</v>
      </c>
      <c r="E524" t="s">
        <v>4</v>
      </c>
      <c r="F524" t="s">
        <v>6</v>
      </c>
      <c r="G524" s="2">
        <v>9866.3048500000004</v>
      </c>
      <c r="H524" s="1" t="str">
        <f>IF(A524&lt;31,"18-30",IF(A524&lt;46,"31-45",IF(A524&lt;61,"46-60","60+")))</f>
        <v>46-60</v>
      </c>
      <c r="I524" t="str">
        <f>IF(C524&lt;18.5,"Underweight",IF(C524&lt;25,"Normal",IF(C524&lt;30,"Overweight","Obese")))</f>
        <v>Obese</v>
      </c>
      <c r="J524">
        <f>IF(E524="yes",1,0)</f>
        <v>0</v>
      </c>
      <c r="K524" t="str">
        <f>IF(G524&gt;15000,"High","Low")</f>
        <v>Low</v>
      </c>
    </row>
    <row r="525" spans="1:11" x14ac:dyDescent="0.35">
      <c r="A525">
        <v>38</v>
      </c>
      <c r="B525" t="s">
        <v>2</v>
      </c>
      <c r="C525">
        <v>37.729999999999997</v>
      </c>
      <c r="D525">
        <v>0</v>
      </c>
      <c r="E525" t="s">
        <v>4</v>
      </c>
      <c r="F525" t="s">
        <v>5</v>
      </c>
      <c r="G525" s="2">
        <v>5397.6166999999996</v>
      </c>
      <c r="H525" s="1" t="str">
        <f>IF(A525&lt;31,"18-30",IF(A525&lt;46,"31-45",IF(A525&lt;61,"46-60","60+")))</f>
        <v>31-45</v>
      </c>
      <c r="I525" t="str">
        <f>IF(C525&lt;18.5,"Underweight",IF(C525&lt;25,"Normal",IF(C525&lt;30,"Overweight","Obese")))</f>
        <v>Obese</v>
      </c>
      <c r="J525">
        <f>IF(E525="yes",1,0)</f>
        <v>0</v>
      </c>
      <c r="K525" t="str">
        <f>IF(G525&gt;15000,"High","Low")</f>
        <v>Low</v>
      </c>
    </row>
    <row r="526" spans="1:11" x14ac:dyDescent="0.35">
      <c r="A526">
        <v>42</v>
      </c>
      <c r="B526" t="s">
        <v>7</v>
      </c>
      <c r="C526">
        <v>26.07</v>
      </c>
      <c r="D526">
        <v>1</v>
      </c>
      <c r="E526" t="s">
        <v>1</v>
      </c>
      <c r="F526" t="s">
        <v>5</v>
      </c>
      <c r="G526" s="2">
        <v>38245.593269999998</v>
      </c>
      <c r="H526" s="1" t="str">
        <f>IF(A526&lt;31,"18-30",IF(A526&lt;46,"31-45",IF(A526&lt;61,"46-60","60+")))</f>
        <v>31-45</v>
      </c>
      <c r="I526" t="str">
        <f>IF(C526&lt;18.5,"Underweight",IF(C526&lt;25,"Normal",IF(C526&lt;30,"Overweight","Obese")))</f>
        <v>Overweight</v>
      </c>
      <c r="J526">
        <f>IF(E526="yes",1,0)</f>
        <v>1</v>
      </c>
      <c r="K526" t="str">
        <f>IF(G526&gt;15000,"High","Low")</f>
        <v>High</v>
      </c>
    </row>
    <row r="527" spans="1:11" x14ac:dyDescent="0.35">
      <c r="A527">
        <v>18</v>
      </c>
      <c r="B527" t="s">
        <v>2</v>
      </c>
      <c r="C527">
        <v>33.880000000000003</v>
      </c>
      <c r="D527">
        <v>0</v>
      </c>
      <c r="E527" t="s">
        <v>4</v>
      </c>
      <c r="F527" t="s">
        <v>5</v>
      </c>
      <c r="G527" s="2">
        <v>11482.63485</v>
      </c>
      <c r="H527" s="1" t="str">
        <f>IF(A527&lt;31,"18-30",IF(A527&lt;46,"31-45",IF(A527&lt;61,"46-60","60+")))</f>
        <v>18-30</v>
      </c>
      <c r="I527" t="str">
        <f>IF(C527&lt;18.5,"Underweight",IF(C527&lt;25,"Normal",IF(C527&lt;30,"Overweight","Obese")))</f>
        <v>Obese</v>
      </c>
      <c r="J527">
        <f>IF(E527="yes",1,0)</f>
        <v>0</v>
      </c>
      <c r="K527" t="str">
        <f>IF(G527&gt;15000,"High","Low")</f>
        <v>Low</v>
      </c>
    </row>
    <row r="528" spans="1:11" x14ac:dyDescent="0.35">
      <c r="A528">
        <v>19</v>
      </c>
      <c r="B528" t="s">
        <v>2</v>
      </c>
      <c r="C528">
        <v>30.59</v>
      </c>
      <c r="D528">
        <v>2</v>
      </c>
      <c r="E528" t="s">
        <v>4</v>
      </c>
      <c r="F528" t="s">
        <v>0</v>
      </c>
      <c r="G528" s="2">
        <v>24059.680189999999</v>
      </c>
      <c r="H528" s="1" t="str">
        <f>IF(A528&lt;31,"18-30",IF(A528&lt;46,"31-45",IF(A528&lt;61,"46-60","60+")))</f>
        <v>18-30</v>
      </c>
      <c r="I528" t="str">
        <f>IF(C528&lt;18.5,"Underweight",IF(C528&lt;25,"Normal",IF(C528&lt;30,"Overweight","Obese")))</f>
        <v>Obese</v>
      </c>
      <c r="J528">
        <f>IF(E528="yes",1,0)</f>
        <v>0</v>
      </c>
      <c r="K528" t="str">
        <f>IF(G528&gt;15000,"High","Low")</f>
        <v>High</v>
      </c>
    </row>
    <row r="529" spans="1:11" x14ac:dyDescent="0.35">
      <c r="A529">
        <v>51</v>
      </c>
      <c r="B529" t="s">
        <v>2</v>
      </c>
      <c r="C529">
        <v>25.8</v>
      </c>
      <c r="D529">
        <v>1</v>
      </c>
      <c r="E529" t="s">
        <v>4</v>
      </c>
      <c r="F529" t="s">
        <v>3</v>
      </c>
      <c r="G529" s="2">
        <v>9861.0249999999996</v>
      </c>
      <c r="H529" s="1" t="str">
        <f>IF(A529&lt;31,"18-30",IF(A529&lt;46,"31-45",IF(A529&lt;61,"46-60","60+")))</f>
        <v>46-60</v>
      </c>
      <c r="I529" t="str">
        <f>IF(C529&lt;18.5,"Underweight",IF(C529&lt;25,"Normal",IF(C529&lt;30,"Overweight","Obese")))</f>
        <v>Overweight</v>
      </c>
      <c r="J529">
        <f>IF(E529="yes",1,0)</f>
        <v>0</v>
      </c>
      <c r="K529" t="str">
        <f>IF(G529&gt;15000,"High","Low")</f>
        <v>Low</v>
      </c>
    </row>
    <row r="530" spans="1:11" x14ac:dyDescent="0.35">
      <c r="A530">
        <v>46</v>
      </c>
      <c r="B530" t="s">
        <v>7</v>
      </c>
      <c r="C530">
        <v>39.424999999999997</v>
      </c>
      <c r="D530">
        <v>1</v>
      </c>
      <c r="E530" t="s">
        <v>4</v>
      </c>
      <c r="F530" t="s">
        <v>6</v>
      </c>
      <c r="G530" s="2">
        <v>8342.9087500000005</v>
      </c>
      <c r="H530" s="1" t="str">
        <f>IF(A530&lt;31,"18-30",IF(A530&lt;46,"31-45",IF(A530&lt;61,"46-60","60+")))</f>
        <v>46-60</v>
      </c>
      <c r="I530" t="str">
        <f>IF(C530&lt;18.5,"Underweight",IF(C530&lt;25,"Normal",IF(C530&lt;30,"Overweight","Obese")))</f>
        <v>Obese</v>
      </c>
      <c r="J530">
        <f>IF(E530="yes",1,0)</f>
        <v>0</v>
      </c>
      <c r="K530" t="str">
        <f>IF(G530&gt;15000,"High","Low")</f>
        <v>Low</v>
      </c>
    </row>
    <row r="531" spans="1:11" x14ac:dyDescent="0.35">
      <c r="A531">
        <v>18</v>
      </c>
      <c r="B531" t="s">
        <v>7</v>
      </c>
      <c r="C531">
        <v>25.46</v>
      </c>
      <c r="D531">
        <v>0</v>
      </c>
      <c r="E531" t="s">
        <v>4</v>
      </c>
      <c r="F531" t="s">
        <v>6</v>
      </c>
      <c r="G531" s="2">
        <v>1708.0014000000001</v>
      </c>
      <c r="H531" s="1" t="str">
        <f>IF(A531&lt;31,"18-30",IF(A531&lt;46,"31-45",IF(A531&lt;61,"46-60","60+")))</f>
        <v>18-30</v>
      </c>
      <c r="I531" t="str">
        <f>IF(C531&lt;18.5,"Underweight",IF(C531&lt;25,"Normal",IF(C531&lt;30,"Overweight","Obese")))</f>
        <v>Overweight</v>
      </c>
      <c r="J531">
        <f>IF(E531="yes",1,0)</f>
        <v>0</v>
      </c>
      <c r="K531" t="str">
        <f>IF(G531&gt;15000,"High","Low")</f>
        <v>Low</v>
      </c>
    </row>
    <row r="532" spans="1:11" x14ac:dyDescent="0.35">
      <c r="A532">
        <v>57</v>
      </c>
      <c r="B532" t="s">
        <v>7</v>
      </c>
      <c r="C532">
        <v>42.13</v>
      </c>
      <c r="D532">
        <v>1</v>
      </c>
      <c r="E532" t="s">
        <v>1</v>
      </c>
      <c r="F532" t="s">
        <v>5</v>
      </c>
      <c r="G532" s="2">
        <v>48675.517699999997</v>
      </c>
      <c r="H532" s="1" t="str">
        <f>IF(A532&lt;31,"18-30",IF(A532&lt;46,"31-45",IF(A532&lt;61,"46-60","60+")))</f>
        <v>46-60</v>
      </c>
      <c r="I532" t="str">
        <f>IF(C532&lt;18.5,"Underweight",IF(C532&lt;25,"Normal",IF(C532&lt;30,"Overweight","Obese")))</f>
        <v>Obese</v>
      </c>
      <c r="J532">
        <f>IF(E532="yes",1,0)</f>
        <v>1</v>
      </c>
      <c r="K532" t="str">
        <f>IF(G532&gt;15000,"High","Low")</f>
        <v>High</v>
      </c>
    </row>
    <row r="533" spans="1:11" x14ac:dyDescent="0.35">
      <c r="A533">
        <v>62</v>
      </c>
      <c r="B533" t="s">
        <v>2</v>
      </c>
      <c r="C533">
        <v>31.73</v>
      </c>
      <c r="D533">
        <v>0</v>
      </c>
      <c r="E533" t="s">
        <v>4</v>
      </c>
      <c r="F533" t="s">
        <v>6</v>
      </c>
      <c r="G533" s="2">
        <v>14043.476699999999</v>
      </c>
      <c r="H533" s="1" t="str">
        <f>IF(A533&lt;31,"18-30",IF(A533&lt;46,"31-45",IF(A533&lt;61,"46-60","60+")))</f>
        <v>60+</v>
      </c>
      <c r="I533" t="str">
        <f>IF(C533&lt;18.5,"Underweight",IF(C533&lt;25,"Normal",IF(C533&lt;30,"Overweight","Obese")))</f>
        <v>Obese</v>
      </c>
      <c r="J533">
        <f>IF(E533="yes",1,0)</f>
        <v>0</v>
      </c>
      <c r="K533" t="str">
        <f>IF(G533&gt;15000,"High","Low")</f>
        <v>Low</v>
      </c>
    </row>
    <row r="534" spans="1:11" x14ac:dyDescent="0.35">
      <c r="A534">
        <v>59</v>
      </c>
      <c r="B534" t="s">
        <v>7</v>
      </c>
      <c r="C534">
        <v>29.7</v>
      </c>
      <c r="D534">
        <v>2</v>
      </c>
      <c r="E534" t="s">
        <v>4</v>
      </c>
      <c r="F534" t="s">
        <v>5</v>
      </c>
      <c r="G534" s="2">
        <v>12925.886</v>
      </c>
      <c r="H534" s="1" t="str">
        <f>IF(A534&lt;31,"18-30",IF(A534&lt;46,"31-45",IF(A534&lt;61,"46-60","60+")))</f>
        <v>46-60</v>
      </c>
      <c r="I534" t="str">
        <f>IF(C534&lt;18.5,"Underweight",IF(C534&lt;25,"Normal",IF(C534&lt;30,"Overweight","Obese")))</f>
        <v>Overweight</v>
      </c>
      <c r="J534">
        <f>IF(E534="yes",1,0)</f>
        <v>0</v>
      </c>
      <c r="K534" t="str">
        <f>IF(G534&gt;15000,"High","Low")</f>
        <v>Low</v>
      </c>
    </row>
    <row r="535" spans="1:11" x14ac:dyDescent="0.35">
      <c r="A535">
        <v>37</v>
      </c>
      <c r="B535" t="s">
        <v>7</v>
      </c>
      <c r="C535">
        <v>36.19</v>
      </c>
      <c r="D535">
        <v>0</v>
      </c>
      <c r="E535" t="s">
        <v>4</v>
      </c>
      <c r="F535" t="s">
        <v>5</v>
      </c>
      <c r="G535" s="2">
        <v>19214.705529999999</v>
      </c>
      <c r="H535" s="1" t="str">
        <f>IF(A535&lt;31,"18-30",IF(A535&lt;46,"31-45",IF(A535&lt;61,"46-60","60+")))</f>
        <v>31-45</v>
      </c>
      <c r="I535" t="str">
        <f>IF(C535&lt;18.5,"Underweight",IF(C535&lt;25,"Normal",IF(C535&lt;30,"Overweight","Obese")))</f>
        <v>Obese</v>
      </c>
      <c r="J535">
        <f>IF(E535="yes",1,0)</f>
        <v>0</v>
      </c>
      <c r="K535" t="str">
        <f>IF(G535&gt;15000,"High","Low")</f>
        <v>High</v>
      </c>
    </row>
    <row r="536" spans="1:11" x14ac:dyDescent="0.35">
      <c r="A536">
        <v>64</v>
      </c>
      <c r="B536" t="s">
        <v>7</v>
      </c>
      <c r="C536">
        <v>40.479999999999997</v>
      </c>
      <c r="D536">
        <v>0</v>
      </c>
      <c r="E536" t="s">
        <v>4</v>
      </c>
      <c r="F536" t="s">
        <v>5</v>
      </c>
      <c r="G536" s="2">
        <v>13831.1152</v>
      </c>
      <c r="H536" s="1" t="str">
        <f>IF(A536&lt;31,"18-30",IF(A536&lt;46,"31-45",IF(A536&lt;61,"46-60","60+")))</f>
        <v>60+</v>
      </c>
      <c r="I536" t="str">
        <f>IF(C536&lt;18.5,"Underweight",IF(C536&lt;25,"Normal",IF(C536&lt;30,"Overweight","Obese")))</f>
        <v>Obese</v>
      </c>
      <c r="J536">
        <f>IF(E536="yes",1,0)</f>
        <v>0</v>
      </c>
      <c r="K536" t="str">
        <f>IF(G536&gt;15000,"High","Low")</f>
        <v>Low</v>
      </c>
    </row>
    <row r="537" spans="1:11" x14ac:dyDescent="0.35">
      <c r="A537">
        <v>38</v>
      </c>
      <c r="B537" t="s">
        <v>7</v>
      </c>
      <c r="C537">
        <v>28.024999999999999</v>
      </c>
      <c r="D537">
        <v>1</v>
      </c>
      <c r="E537" t="s">
        <v>4</v>
      </c>
      <c r="F537" t="s">
        <v>6</v>
      </c>
      <c r="G537" s="2">
        <v>6067.1267500000004</v>
      </c>
      <c r="H537" s="1" t="str">
        <f>IF(A537&lt;31,"18-30",IF(A537&lt;46,"31-45",IF(A537&lt;61,"46-60","60+")))</f>
        <v>31-45</v>
      </c>
      <c r="I537" t="str">
        <f>IF(C537&lt;18.5,"Underweight",IF(C537&lt;25,"Normal",IF(C537&lt;30,"Overweight","Obese")))</f>
        <v>Overweight</v>
      </c>
      <c r="J537">
        <f>IF(E537="yes",1,0)</f>
        <v>0</v>
      </c>
      <c r="K537" t="str">
        <f>IF(G537&gt;15000,"High","Low")</f>
        <v>Low</v>
      </c>
    </row>
    <row r="538" spans="1:11" x14ac:dyDescent="0.35">
      <c r="A538">
        <v>33</v>
      </c>
      <c r="B538" t="s">
        <v>2</v>
      </c>
      <c r="C538">
        <v>38.9</v>
      </c>
      <c r="D538">
        <v>3</v>
      </c>
      <c r="E538" t="s">
        <v>4</v>
      </c>
      <c r="F538" t="s">
        <v>3</v>
      </c>
      <c r="G538" s="2">
        <v>5972.3779999999997</v>
      </c>
      <c r="H538" s="1" t="str">
        <f>IF(A538&lt;31,"18-30",IF(A538&lt;46,"31-45",IF(A538&lt;61,"46-60","60+")))</f>
        <v>31-45</v>
      </c>
      <c r="I538" t="str">
        <f>IF(C538&lt;18.5,"Underweight",IF(C538&lt;25,"Normal",IF(C538&lt;30,"Overweight","Obese")))</f>
        <v>Obese</v>
      </c>
      <c r="J538">
        <f>IF(E538="yes",1,0)</f>
        <v>0</v>
      </c>
      <c r="K538" t="str">
        <f>IF(G538&gt;15000,"High","Low")</f>
        <v>Low</v>
      </c>
    </row>
    <row r="539" spans="1:11" x14ac:dyDescent="0.35">
      <c r="A539">
        <v>46</v>
      </c>
      <c r="B539" t="s">
        <v>2</v>
      </c>
      <c r="C539">
        <v>30.2</v>
      </c>
      <c r="D539">
        <v>2</v>
      </c>
      <c r="E539" t="s">
        <v>4</v>
      </c>
      <c r="F539" t="s">
        <v>3</v>
      </c>
      <c r="G539" s="2">
        <v>8825.0859999999993</v>
      </c>
      <c r="H539" s="1" t="str">
        <f>IF(A539&lt;31,"18-30",IF(A539&lt;46,"31-45",IF(A539&lt;61,"46-60","60+")))</f>
        <v>46-60</v>
      </c>
      <c r="I539" t="str">
        <f>IF(C539&lt;18.5,"Underweight",IF(C539&lt;25,"Normal",IF(C539&lt;30,"Overweight","Obese")))</f>
        <v>Obese</v>
      </c>
      <c r="J539">
        <f>IF(E539="yes",1,0)</f>
        <v>0</v>
      </c>
      <c r="K539" t="str">
        <f>IF(G539&gt;15000,"High","Low")</f>
        <v>Low</v>
      </c>
    </row>
    <row r="540" spans="1:11" x14ac:dyDescent="0.35">
      <c r="A540">
        <v>46</v>
      </c>
      <c r="B540" t="s">
        <v>2</v>
      </c>
      <c r="C540">
        <v>28.05</v>
      </c>
      <c r="D540">
        <v>1</v>
      </c>
      <c r="E540" t="s">
        <v>4</v>
      </c>
      <c r="F540" t="s">
        <v>5</v>
      </c>
      <c r="G540" s="2">
        <v>8233.0974999999999</v>
      </c>
      <c r="H540" s="1" t="str">
        <f>IF(A540&lt;31,"18-30",IF(A540&lt;46,"31-45",IF(A540&lt;61,"46-60","60+")))</f>
        <v>46-60</v>
      </c>
      <c r="I540" t="str">
        <f>IF(C540&lt;18.5,"Underweight",IF(C540&lt;25,"Normal",IF(C540&lt;30,"Overweight","Obese")))</f>
        <v>Overweight</v>
      </c>
      <c r="J540">
        <f>IF(E540="yes",1,0)</f>
        <v>0</v>
      </c>
      <c r="K540" t="str">
        <f>IF(G540&gt;15000,"High","Low")</f>
        <v>Low</v>
      </c>
    </row>
    <row r="541" spans="1:11" x14ac:dyDescent="0.35">
      <c r="A541">
        <v>53</v>
      </c>
      <c r="B541" t="s">
        <v>7</v>
      </c>
      <c r="C541">
        <v>31.35</v>
      </c>
      <c r="D541">
        <v>0</v>
      </c>
      <c r="E541" t="s">
        <v>4</v>
      </c>
      <c r="F541" t="s">
        <v>5</v>
      </c>
      <c r="G541" s="2">
        <v>27346.04207</v>
      </c>
      <c r="H541" s="1" t="str">
        <f>IF(A541&lt;31,"18-30",IF(A541&lt;46,"31-45",IF(A541&lt;61,"46-60","60+")))</f>
        <v>46-60</v>
      </c>
      <c r="I541" t="str">
        <f>IF(C541&lt;18.5,"Underweight",IF(C541&lt;25,"Normal",IF(C541&lt;30,"Overweight","Obese")))</f>
        <v>Obese</v>
      </c>
      <c r="J541">
        <f>IF(E541="yes",1,0)</f>
        <v>0</v>
      </c>
      <c r="K541" t="str">
        <f>IF(G541&gt;15000,"High","Low")</f>
        <v>High</v>
      </c>
    </row>
    <row r="542" spans="1:11" x14ac:dyDescent="0.35">
      <c r="A542">
        <v>34</v>
      </c>
      <c r="B542" t="s">
        <v>2</v>
      </c>
      <c r="C542">
        <v>38</v>
      </c>
      <c r="D542">
        <v>3</v>
      </c>
      <c r="E542" t="s">
        <v>4</v>
      </c>
      <c r="F542" t="s">
        <v>3</v>
      </c>
      <c r="G542" s="2">
        <v>6196.4480000000003</v>
      </c>
      <c r="H542" s="1" t="str">
        <f>IF(A542&lt;31,"18-30",IF(A542&lt;46,"31-45",IF(A542&lt;61,"46-60","60+")))</f>
        <v>31-45</v>
      </c>
      <c r="I542" t="str">
        <f>IF(C542&lt;18.5,"Underweight",IF(C542&lt;25,"Normal",IF(C542&lt;30,"Overweight","Obese")))</f>
        <v>Obese</v>
      </c>
      <c r="J542">
        <f>IF(E542="yes",1,0)</f>
        <v>0</v>
      </c>
      <c r="K542" t="str">
        <f>IF(G542&gt;15000,"High","Low")</f>
        <v>Low</v>
      </c>
    </row>
    <row r="543" spans="1:11" x14ac:dyDescent="0.35">
      <c r="A543">
        <v>20</v>
      </c>
      <c r="B543" t="s">
        <v>2</v>
      </c>
      <c r="C543">
        <v>31.79</v>
      </c>
      <c r="D543">
        <v>2</v>
      </c>
      <c r="E543" t="s">
        <v>4</v>
      </c>
      <c r="F543" t="s">
        <v>5</v>
      </c>
      <c r="G543" s="2">
        <v>3056.3881000000001</v>
      </c>
      <c r="H543" s="1" t="str">
        <f>IF(A543&lt;31,"18-30",IF(A543&lt;46,"31-45",IF(A543&lt;61,"46-60","60+")))</f>
        <v>18-30</v>
      </c>
      <c r="I543" t="str">
        <f>IF(C543&lt;18.5,"Underweight",IF(C543&lt;25,"Normal",IF(C543&lt;30,"Overweight","Obese")))</f>
        <v>Obese</v>
      </c>
      <c r="J543">
        <f>IF(E543="yes",1,0)</f>
        <v>0</v>
      </c>
      <c r="K543" t="str">
        <f>IF(G543&gt;15000,"High","Low")</f>
        <v>Low</v>
      </c>
    </row>
    <row r="544" spans="1:11" x14ac:dyDescent="0.35">
      <c r="A544">
        <v>63</v>
      </c>
      <c r="B544" t="s">
        <v>2</v>
      </c>
      <c r="C544">
        <v>36.299999999999997</v>
      </c>
      <c r="D544">
        <v>0</v>
      </c>
      <c r="E544" t="s">
        <v>4</v>
      </c>
      <c r="F544" t="s">
        <v>5</v>
      </c>
      <c r="G544" s="2">
        <v>13887.204</v>
      </c>
      <c r="H544" s="1" t="str">
        <f>IF(A544&lt;31,"18-30",IF(A544&lt;46,"31-45",IF(A544&lt;61,"46-60","60+")))</f>
        <v>60+</v>
      </c>
      <c r="I544" t="str">
        <f>IF(C544&lt;18.5,"Underweight",IF(C544&lt;25,"Normal",IF(C544&lt;30,"Overweight","Obese")))</f>
        <v>Obese</v>
      </c>
      <c r="J544">
        <f>IF(E544="yes",1,0)</f>
        <v>0</v>
      </c>
      <c r="K544" t="str">
        <f>IF(G544&gt;15000,"High","Low")</f>
        <v>Low</v>
      </c>
    </row>
    <row r="545" spans="1:11" x14ac:dyDescent="0.35">
      <c r="A545">
        <v>54</v>
      </c>
      <c r="B545" t="s">
        <v>2</v>
      </c>
      <c r="C545">
        <v>47.41</v>
      </c>
      <c r="D545">
        <v>0</v>
      </c>
      <c r="E545" t="s">
        <v>1</v>
      </c>
      <c r="F545" t="s">
        <v>5</v>
      </c>
      <c r="G545" s="2">
        <v>63770.428010000003</v>
      </c>
      <c r="H545" s="1" t="str">
        <f>IF(A545&lt;31,"18-30",IF(A545&lt;46,"31-45",IF(A545&lt;61,"46-60","60+")))</f>
        <v>46-60</v>
      </c>
      <c r="I545" t="str">
        <f>IF(C545&lt;18.5,"Underweight",IF(C545&lt;25,"Normal",IF(C545&lt;30,"Overweight","Obese")))</f>
        <v>Obese</v>
      </c>
      <c r="J545">
        <f>IF(E545="yes",1,0)</f>
        <v>1</v>
      </c>
      <c r="K545" t="str">
        <f>IF(G545&gt;15000,"High","Low")</f>
        <v>High</v>
      </c>
    </row>
    <row r="546" spans="1:11" x14ac:dyDescent="0.35">
      <c r="A546">
        <v>54</v>
      </c>
      <c r="B546" t="s">
        <v>7</v>
      </c>
      <c r="C546">
        <v>30.21</v>
      </c>
      <c r="D546">
        <v>0</v>
      </c>
      <c r="E546" t="s">
        <v>4</v>
      </c>
      <c r="F546" t="s">
        <v>0</v>
      </c>
      <c r="G546" s="2">
        <v>10231.499900000001</v>
      </c>
      <c r="H546" s="1" t="str">
        <f>IF(A546&lt;31,"18-30",IF(A546&lt;46,"31-45",IF(A546&lt;61,"46-60","60+")))</f>
        <v>46-60</v>
      </c>
      <c r="I546" t="str">
        <f>IF(C546&lt;18.5,"Underweight",IF(C546&lt;25,"Normal",IF(C546&lt;30,"Overweight","Obese")))</f>
        <v>Obese</v>
      </c>
      <c r="J546">
        <f>IF(E546="yes",1,0)</f>
        <v>0</v>
      </c>
      <c r="K546" t="str">
        <f>IF(G546&gt;15000,"High","Low")</f>
        <v>Low</v>
      </c>
    </row>
    <row r="547" spans="1:11" x14ac:dyDescent="0.35">
      <c r="A547">
        <v>49</v>
      </c>
      <c r="B547" t="s">
        <v>7</v>
      </c>
      <c r="C547">
        <v>25.84</v>
      </c>
      <c r="D547">
        <v>2</v>
      </c>
      <c r="E547" t="s">
        <v>1</v>
      </c>
      <c r="F547" t="s">
        <v>0</v>
      </c>
      <c r="G547" s="2">
        <v>23807.240600000001</v>
      </c>
      <c r="H547" s="1" t="str">
        <f>IF(A547&lt;31,"18-30",IF(A547&lt;46,"31-45",IF(A547&lt;61,"46-60","60+")))</f>
        <v>46-60</v>
      </c>
      <c r="I547" t="str">
        <f>IF(C547&lt;18.5,"Underweight",IF(C547&lt;25,"Normal",IF(C547&lt;30,"Overweight","Obese")))</f>
        <v>Overweight</v>
      </c>
      <c r="J547">
        <f>IF(E547="yes",1,0)</f>
        <v>1</v>
      </c>
      <c r="K547" t="str">
        <f>IF(G547&gt;15000,"High","Low")</f>
        <v>High</v>
      </c>
    </row>
    <row r="548" spans="1:11" x14ac:dyDescent="0.35">
      <c r="A548">
        <v>28</v>
      </c>
      <c r="B548" t="s">
        <v>7</v>
      </c>
      <c r="C548">
        <v>35.435000000000002</v>
      </c>
      <c r="D548">
        <v>0</v>
      </c>
      <c r="E548" t="s">
        <v>4</v>
      </c>
      <c r="F548" t="s">
        <v>6</v>
      </c>
      <c r="G548" s="2">
        <v>3268.84665</v>
      </c>
      <c r="H548" s="1" t="str">
        <f>IF(A548&lt;31,"18-30",IF(A548&lt;46,"31-45",IF(A548&lt;61,"46-60","60+")))</f>
        <v>18-30</v>
      </c>
      <c r="I548" t="str">
        <f>IF(C548&lt;18.5,"Underweight",IF(C548&lt;25,"Normal",IF(C548&lt;30,"Overweight","Obese")))</f>
        <v>Obese</v>
      </c>
      <c r="J548">
        <f>IF(E548="yes",1,0)</f>
        <v>0</v>
      </c>
      <c r="K548" t="str">
        <f>IF(G548&gt;15000,"High","Low")</f>
        <v>Low</v>
      </c>
    </row>
    <row r="549" spans="1:11" x14ac:dyDescent="0.35">
      <c r="A549">
        <v>54</v>
      </c>
      <c r="B549" t="s">
        <v>2</v>
      </c>
      <c r="C549">
        <v>46.7</v>
      </c>
      <c r="D549">
        <v>2</v>
      </c>
      <c r="E549" t="s">
        <v>4</v>
      </c>
      <c r="F549" t="s">
        <v>3</v>
      </c>
      <c r="G549" s="2">
        <v>11538.421</v>
      </c>
      <c r="H549" s="1" t="str">
        <f>IF(A549&lt;31,"18-30",IF(A549&lt;46,"31-45",IF(A549&lt;61,"46-60","60+")))</f>
        <v>46-60</v>
      </c>
      <c r="I549" t="str">
        <f>IF(C549&lt;18.5,"Underweight",IF(C549&lt;25,"Normal",IF(C549&lt;30,"Overweight","Obese")))</f>
        <v>Obese</v>
      </c>
      <c r="J549">
        <f>IF(E549="yes",1,0)</f>
        <v>0</v>
      </c>
      <c r="K549" t="str">
        <f>IF(G549&gt;15000,"High","Low")</f>
        <v>Low</v>
      </c>
    </row>
    <row r="550" spans="1:11" x14ac:dyDescent="0.35">
      <c r="A550">
        <v>25</v>
      </c>
      <c r="B550" t="s">
        <v>2</v>
      </c>
      <c r="C550">
        <v>28.594999999999999</v>
      </c>
      <c r="D550">
        <v>0</v>
      </c>
      <c r="E550" t="s">
        <v>4</v>
      </c>
      <c r="F550" t="s">
        <v>6</v>
      </c>
      <c r="G550" s="2">
        <v>3213.6220499999999</v>
      </c>
      <c r="H550" s="1" t="str">
        <f>IF(A550&lt;31,"18-30",IF(A550&lt;46,"31-45",IF(A550&lt;61,"46-60","60+")))</f>
        <v>18-30</v>
      </c>
      <c r="I550" t="str">
        <f>IF(C550&lt;18.5,"Underweight",IF(C550&lt;25,"Normal",IF(C550&lt;30,"Overweight","Obese")))</f>
        <v>Overweight</v>
      </c>
      <c r="J550">
        <f>IF(E550="yes",1,0)</f>
        <v>0</v>
      </c>
      <c r="K550" t="str">
        <f>IF(G550&gt;15000,"High","Low")</f>
        <v>Low</v>
      </c>
    </row>
    <row r="551" spans="1:11" x14ac:dyDescent="0.35">
      <c r="A551">
        <v>43</v>
      </c>
      <c r="B551" t="s">
        <v>2</v>
      </c>
      <c r="C551">
        <v>46.2</v>
      </c>
      <c r="D551">
        <v>0</v>
      </c>
      <c r="E551" t="s">
        <v>1</v>
      </c>
      <c r="F551" t="s">
        <v>5</v>
      </c>
      <c r="G551" s="2">
        <v>45863.205000000002</v>
      </c>
      <c r="H551" s="1" t="str">
        <f>IF(A551&lt;31,"18-30",IF(A551&lt;46,"31-45",IF(A551&lt;61,"46-60","60+")))</f>
        <v>31-45</v>
      </c>
      <c r="I551" t="str">
        <f>IF(C551&lt;18.5,"Underweight",IF(C551&lt;25,"Normal",IF(C551&lt;30,"Overweight","Obese")))</f>
        <v>Obese</v>
      </c>
      <c r="J551">
        <f>IF(E551="yes",1,0)</f>
        <v>1</v>
      </c>
      <c r="K551" t="str">
        <f>IF(G551&gt;15000,"High","Low")</f>
        <v>High</v>
      </c>
    </row>
    <row r="552" spans="1:11" x14ac:dyDescent="0.35">
      <c r="A552">
        <v>63</v>
      </c>
      <c r="B552" t="s">
        <v>7</v>
      </c>
      <c r="C552">
        <v>30.8</v>
      </c>
      <c r="D552">
        <v>0</v>
      </c>
      <c r="E552" t="s">
        <v>4</v>
      </c>
      <c r="F552" t="s">
        <v>3</v>
      </c>
      <c r="G552" s="2">
        <v>13390.558999999999</v>
      </c>
      <c r="H552" s="1" t="str">
        <f>IF(A552&lt;31,"18-30",IF(A552&lt;46,"31-45",IF(A552&lt;61,"46-60","60+")))</f>
        <v>60+</v>
      </c>
      <c r="I552" t="str">
        <f>IF(C552&lt;18.5,"Underweight",IF(C552&lt;25,"Normal",IF(C552&lt;30,"Overweight","Obese")))</f>
        <v>Obese</v>
      </c>
      <c r="J552">
        <f>IF(E552="yes",1,0)</f>
        <v>0</v>
      </c>
      <c r="K552" t="str">
        <f>IF(G552&gt;15000,"High","Low")</f>
        <v>Low</v>
      </c>
    </row>
    <row r="553" spans="1:11" x14ac:dyDescent="0.35">
      <c r="A553">
        <v>32</v>
      </c>
      <c r="B553" t="s">
        <v>2</v>
      </c>
      <c r="C553">
        <v>28.93</v>
      </c>
      <c r="D553">
        <v>0</v>
      </c>
      <c r="E553" t="s">
        <v>4</v>
      </c>
      <c r="F553" t="s">
        <v>5</v>
      </c>
      <c r="G553" s="2">
        <v>3972.9247</v>
      </c>
      <c r="H553" s="1" t="str">
        <f>IF(A553&lt;31,"18-30",IF(A553&lt;46,"31-45",IF(A553&lt;61,"46-60","60+")))</f>
        <v>31-45</v>
      </c>
      <c r="I553" t="str">
        <f>IF(C553&lt;18.5,"Underweight",IF(C553&lt;25,"Normal",IF(C553&lt;30,"Overweight","Obese")))</f>
        <v>Overweight</v>
      </c>
      <c r="J553">
        <f>IF(E553="yes",1,0)</f>
        <v>0</v>
      </c>
      <c r="K553" t="str">
        <f>IF(G553&gt;15000,"High","Low")</f>
        <v>Low</v>
      </c>
    </row>
    <row r="554" spans="1:11" x14ac:dyDescent="0.35">
      <c r="A554">
        <v>62</v>
      </c>
      <c r="B554" t="s">
        <v>7</v>
      </c>
      <c r="C554">
        <v>21.4</v>
      </c>
      <c r="D554">
        <v>0</v>
      </c>
      <c r="E554" t="s">
        <v>4</v>
      </c>
      <c r="F554" t="s">
        <v>3</v>
      </c>
      <c r="G554" s="2">
        <v>12957.118</v>
      </c>
      <c r="H554" s="1" t="str">
        <f>IF(A554&lt;31,"18-30",IF(A554&lt;46,"31-45",IF(A554&lt;61,"46-60","60+")))</f>
        <v>60+</v>
      </c>
      <c r="I554" t="str">
        <f>IF(C554&lt;18.5,"Underweight",IF(C554&lt;25,"Normal",IF(C554&lt;30,"Overweight","Obese")))</f>
        <v>Normal</v>
      </c>
      <c r="J554">
        <f>IF(E554="yes",1,0)</f>
        <v>0</v>
      </c>
      <c r="K554" t="str">
        <f>IF(G554&gt;15000,"High","Low")</f>
        <v>Low</v>
      </c>
    </row>
    <row r="555" spans="1:11" x14ac:dyDescent="0.35">
      <c r="A555">
        <v>52</v>
      </c>
      <c r="B555" t="s">
        <v>2</v>
      </c>
      <c r="C555">
        <v>31.73</v>
      </c>
      <c r="D555">
        <v>2</v>
      </c>
      <c r="E555" t="s">
        <v>4</v>
      </c>
      <c r="F555" t="s">
        <v>0</v>
      </c>
      <c r="G555" s="2">
        <v>11187.6567</v>
      </c>
      <c r="H555" s="1" t="str">
        <f>IF(A555&lt;31,"18-30",IF(A555&lt;46,"31-45",IF(A555&lt;61,"46-60","60+")))</f>
        <v>46-60</v>
      </c>
      <c r="I555" t="str">
        <f>IF(C555&lt;18.5,"Underweight",IF(C555&lt;25,"Normal",IF(C555&lt;30,"Overweight","Obese")))</f>
        <v>Obese</v>
      </c>
      <c r="J555">
        <f>IF(E555="yes",1,0)</f>
        <v>0</v>
      </c>
      <c r="K555" t="str">
        <f>IF(G555&gt;15000,"High","Low")</f>
        <v>Low</v>
      </c>
    </row>
    <row r="556" spans="1:11" x14ac:dyDescent="0.35">
      <c r="A556">
        <v>25</v>
      </c>
      <c r="B556" t="s">
        <v>2</v>
      </c>
      <c r="C556">
        <v>41.325000000000003</v>
      </c>
      <c r="D556">
        <v>0</v>
      </c>
      <c r="E556" t="s">
        <v>4</v>
      </c>
      <c r="F556" t="s">
        <v>6</v>
      </c>
      <c r="G556" s="2">
        <v>17878.900679999999</v>
      </c>
      <c r="H556" s="1" t="str">
        <f>IF(A556&lt;31,"18-30",IF(A556&lt;46,"31-45",IF(A556&lt;61,"46-60","60+")))</f>
        <v>18-30</v>
      </c>
      <c r="I556" t="str">
        <f>IF(C556&lt;18.5,"Underweight",IF(C556&lt;25,"Normal",IF(C556&lt;30,"Overweight","Obese")))</f>
        <v>Obese</v>
      </c>
      <c r="J556">
        <f>IF(E556="yes",1,0)</f>
        <v>0</v>
      </c>
      <c r="K556" t="str">
        <f>IF(G556&gt;15000,"High","Low")</f>
        <v>High</v>
      </c>
    </row>
    <row r="557" spans="1:11" x14ac:dyDescent="0.35">
      <c r="A557">
        <v>28</v>
      </c>
      <c r="B557" t="s">
        <v>7</v>
      </c>
      <c r="C557">
        <v>23.8</v>
      </c>
      <c r="D557">
        <v>2</v>
      </c>
      <c r="E557" t="s">
        <v>4</v>
      </c>
      <c r="F557" t="s">
        <v>3</v>
      </c>
      <c r="G557" s="2">
        <v>3847.674</v>
      </c>
      <c r="H557" s="1" t="str">
        <f>IF(A557&lt;31,"18-30",IF(A557&lt;46,"31-45",IF(A557&lt;61,"46-60","60+")))</f>
        <v>18-30</v>
      </c>
      <c r="I557" t="str">
        <f>IF(C557&lt;18.5,"Underweight",IF(C557&lt;25,"Normal",IF(C557&lt;30,"Overweight","Obese")))</f>
        <v>Normal</v>
      </c>
      <c r="J557">
        <f>IF(E557="yes",1,0)</f>
        <v>0</v>
      </c>
      <c r="K557" t="str">
        <f>IF(G557&gt;15000,"High","Low")</f>
        <v>Low</v>
      </c>
    </row>
    <row r="558" spans="1:11" x14ac:dyDescent="0.35">
      <c r="A558">
        <v>46</v>
      </c>
      <c r="B558" t="s">
        <v>7</v>
      </c>
      <c r="C558">
        <v>33.44</v>
      </c>
      <c r="D558">
        <v>1</v>
      </c>
      <c r="E558" t="s">
        <v>4</v>
      </c>
      <c r="F558" t="s">
        <v>6</v>
      </c>
      <c r="G558" s="2">
        <v>8334.5895999999993</v>
      </c>
      <c r="H558" s="1" t="str">
        <f>IF(A558&lt;31,"18-30",IF(A558&lt;46,"31-45",IF(A558&lt;61,"46-60","60+")))</f>
        <v>46-60</v>
      </c>
      <c r="I558" t="str">
        <f>IF(C558&lt;18.5,"Underweight",IF(C558&lt;25,"Normal",IF(C558&lt;30,"Overweight","Obese")))</f>
        <v>Obese</v>
      </c>
      <c r="J558">
        <f>IF(E558="yes",1,0)</f>
        <v>0</v>
      </c>
      <c r="K558" t="str">
        <f>IF(G558&gt;15000,"High","Low")</f>
        <v>Low</v>
      </c>
    </row>
    <row r="559" spans="1:11" x14ac:dyDescent="0.35">
      <c r="A559">
        <v>34</v>
      </c>
      <c r="B559" t="s">
        <v>7</v>
      </c>
      <c r="C559">
        <v>34.21</v>
      </c>
      <c r="D559">
        <v>0</v>
      </c>
      <c r="E559" t="s">
        <v>4</v>
      </c>
      <c r="F559" t="s">
        <v>5</v>
      </c>
      <c r="G559" s="2">
        <v>3935.1799000000001</v>
      </c>
      <c r="H559" s="1" t="str">
        <f>IF(A559&lt;31,"18-30",IF(A559&lt;46,"31-45",IF(A559&lt;61,"46-60","60+")))</f>
        <v>31-45</v>
      </c>
      <c r="I559" t="str">
        <f>IF(C559&lt;18.5,"Underweight",IF(C559&lt;25,"Normal",IF(C559&lt;30,"Overweight","Obese")))</f>
        <v>Obese</v>
      </c>
      <c r="J559">
        <f>IF(E559="yes",1,0)</f>
        <v>0</v>
      </c>
      <c r="K559" t="str">
        <f>IF(G559&gt;15000,"High","Low")</f>
        <v>Low</v>
      </c>
    </row>
    <row r="560" spans="1:11" x14ac:dyDescent="0.35">
      <c r="A560">
        <v>35</v>
      </c>
      <c r="B560" t="s">
        <v>2</v>
      </c>
      <c r="C560">
        <v>34.104999999999997</v>
      </c>
      <c r="D560">
        <v>3</v>
      </c>
      <c r="E560" t="s">
        <v>1</v>
      </c>
      <c r="F560" t="s">
        <v>0</v>
      </c>
      <c r="G560" s="2">
        <v>39983.425949999997</v>
      </c>
      <c r="H560" s="1" t="str">
        <f>IF(A560&lt;31,"18-30",IF(A560&lt;46,"31-45",IF(A560&lt;61,"46-60","60+")))</f>
        <v>31-45</v>
      </c>
      <c r="I560" t="str">
        <f>IF(C560&lt;18.5,"Underweight",IF(C560&lt;25,"Normal",IF(C560&lt;30,"Overweight","Obese")))</f>
        <v>Obese</v>
      </c>
      <c r="J560">
        <f>IF(E560="yes",1,0)</f>
        <v>1</v>
      </c>
      <c r="K560" t="str">
        <f>IF(G560&gt;15000,"High","Low")</f>
        <v>High</v>
      </c>
    </row>
    <row r="561" spans="1:11" x14ac:dyDescent="0.35">
      <c r="A561">
        <v>19</v>
      </c>
      <c r="B561" t="s">
        <v>7</v>
      </c>
      <c r="C561">
        <v>35.53</v>
      </c>
      <c r="D561">
        <v>0</v>
      </c>
      <c r="E561" t="s">
        <v>4</v>
      </c>
      <c r="F561" t="s">
        <v>0</v>
      </c>
      <c r="G561" s="2">
        <v>1646.4296999999999</v>
      </c>
      <c r="H561" s="1" t="str">
        <f>IF(A561&lt;31,"18-30",IF(A561&lt;46,"31-45",IF(A561&lt;61,"46-60","60+")))</f>
        <v>18-30</v>
      </c>
      <c r="I561" t="str">
        <f>IF(C561&lt;18.5,"Underweight",IF(C561&lt;25,"Normal",IF(C561&lt;30,"Overweight","Obese")))</f>
        <v>Obese</v>
      </c>
      <c r="J561">
        <f>IF(E561="yes",1,0)</f>
        <v>0</v>
      </c>
      <c r="K561" t="str">
        <f>IF(G561&gt;15000,"High","Low")</f>
        <v>Low</v>
      </c>
    </row>
    <row r="562" spans="1:11" x14ac:dyDescent="0.35">
      <c r="A562">
        <v>46</v>
      </c>
      <c r="B562" t="s">
        <v>2</v>
      </c>
      <c r="C562">
        <v>19.95</v>
      </c>
      <c r="D562">
        <v>2</v>
      </c>
      <c r="E562" t="s">
        <v>4</v>
      </c>
      <c r="F562" t="s">
        <v>0</v>
      </c>
      <c r="G562" s="2">
        <v>9193.8384999999998</v>
      </c>
      <c r="H562" s="1" t="str">
        <f>IF(A562&lt;31,"18-30",IF(A562&lt;46,"31-45",IF(A562&lt;61,"46-60","60+")))</f>
        <v>46-60</v>
      </c>
      <c r="I562" t="str">
        <f>IF(C562&lt;18.5,"Underweight",IF(C562&lt;25,"Normal",IF(C562&lt;30,"Overweight","Obese")))</f>
        <v>Normal</v>
      </c>
      <c r="J562">
        <f>IF(E562="yes",1,0)</f>
        <v>0</v>
      </c>
      <c r="K562" t="str">
        <f>IF(G562&gt;15000,"High","Low")</f>
        <v>Low</v>
      </c>
    </row>
    <row r="563" spans="1:11" x14ac:dyDescent="0.35">
      <c r="A563">
        <v>54</v>
      </c>
      <c r="B563" t="s">
        <v>2</v>
      </c>
      <c r="C563">
        <v>32.68</v>
      </c>
      <c r="D563">
        <v>0</v>
      </c>
      <c r="E563" t="s">
        <v>4</v>
      </c>
      <c r="F563" t="s">
        <v>6</v>
      </c>
      <c r="G563" s="2">
        <v>10923.933199999999</v>
      </c>
      <c r="H563" s="1" t="str">
        <f>IF(A563&lt;31,"18-30",IF(A563&lt;46,"31-45",IF(A563&lt;61,"46-60","60+")))</f>
        <v>46-60</v>
      </c>
      <c r="I563" t="str">
        <f>IF(C563&lt;18.5,"Underweight",IF(C563&lt;25,"Normal",IF(C563&lt;30,"Overweight","Obese")))</f>
        <v>Obese</v>
      </c>
      <c r="J563">
        <f>IF(E563="yes",1,0)</f>
        <v>0</v>
      </c>
      <c r="K563" t="str">
        <f>IF(G563&gt;15000,"High","Low")</f>
        <v>Low</v>
      </c>
    </row>
    <row r="564" spans="1:11" x14ac:dyDescent="0.35">
      <c r="A564">
        <v>27</v>
      </c>
      <c r="B564" t="s">
        <v>7</v>
      </c>
      <c r="C564">
        <v>30.5</v>
      </c>
      <c r="D564">
        <v>0</v>
      </c>
      <c r="E564" t="s">
        <v>4</v>
      </c>
      <c r="F564" t="s">
        <v>3</v>
      </c>
      <c r="G564" s="2">
        <v>2494.0219999999999</v>
      </c>
      <c r="H564" s="1" t="str">
        <f>IF(A564&lt;31,"18-30",IF(A564&lt;46,"31-45",IF(A564&lt;61,"46-60","60+")))</f>
        <v>18-30</v>
      </c>
      <c r="I564" t="str">
        <f>IF(C564&lt;18.5,"Underweight",IF(C564&lt;25,"Normal",IF(C564&lt;30,"Overweight","Obese")))</f>
        <v>Obese</v>
      </c>
      <c r="J564">
        <f>IF(E564="yes",1,0)</f>
        <v>0</v>
      </c>
      <c r="K564" t="str">
        <f>IF(G564&gt;15000,"High","Low")</f>
        <v>Low</v>
      </c>
    </row>
    <row r="565" spans="1:11" x14ac:dyDescent="0.35">
      <c r="A565">
        <v>50</v>
      </c>
      <c r="B565" t="s">
        <v>7</v>
      </c>
      <c r="C565">
        <v>44.77</v>
      </c>
      <c r="D565">
        <v>1</v>
      </c>
      <c r="E565" t="s">
        <v>4</v>
      </c>
      <c r="F565" t="s">
        <v>5</v>
      </c>
      <c r="G565" s="2">
        <v>9058.7302999999993</v>
      </c>
      <c r="H565" s="1" t="str">
        <f>IF(A565&lt;31,"18-30",IF(A565&lt;46,"31-45",IF(A565&lt;61,"46-60","60+")))</f>
        <v>46-60</v>
      </c>
      <c r="I565" t="str">
        <f>IF(C565&lt;18.5,"Underweight",IF(C565&lt;25,"Normal",IF(C565&lt;30,"Overweight","Obese")))</f>
        <v>Obese</v>
      </c>
      <c r="J565">
        <f>IF(E565="yes",1,0)</f>
        <v>0</v>
      </c>
      <c r="K565" t="str">
        <f>IF(G565&gt;15000,"High","Low")</f>
        <v>Low</v>
      </c>
    </row>
    <row r="566" spans="1:11" x14ac:dyDescent="0.35">
      <c r="A566">
        <v>18</v>
      </c>
      <c r="B566" t="s">
        <v>2</v>
      </c>
      <c r="C566">
        <v>32.119999999999997</v>
      </c>
      <c r="D566">
        <v>2</v>
      </c>
      <c r="E566" t="s">
        <v>4</v>
      </c>
      <c r="F566" t="s">
        <v>5</v>
      </c>
      <c r="G566" s="2">
        <v>2801.2588000000001</v>
      </c>
      <c r="H566" s="1" t="str">
        <f>IF(A566&lt;31,"18-30",IF(A566&lt;46,"31-45",IF(A566&lt;61,"46-60","60+")))</f>
        <v>18-30</v>
      </c>
      <c r="I566" t="str">
        <f>IF(C566&lt;18.5,"Underweight",IF(C566&lt;25,"Normal",IF(C566&lt;30,"Overweight","Obese")))</f>
        <v>Obese</v>
      </c>
      <c r="J566">
        <f>IF(E566="yes",1,0)</f>
        <v>0</v>
      </c>
      <c r="K566" t="str">
        <f>IF(G566&gt;15000,"High","Low")</f>
        <v>Low</v>
      </c>
    </row>
    <row r="567" spans="1:11" x14ac:dyDescent="0.35">
      <c r="A567">
        <v>19</v>
      </c>
      <c r="B567" t="s">
        <v>2</v>
      </c>
      <c r="C567">
        <v>30.495000000000001</v>
      </c>
      <c r="D567">
        <v>0</v>
      </c>
      <c r="E567" t="s">
        <v>4</v>
      </c>
      <c r="F567" t="s">
        <v>0</v>
      </c>
      <c r="G567" s="2">
        <v>2128.4310500000001</v>
      </c>
      <c r="H567" s="1" t="str">
        <f>IF(A567&lt;31,"18-30",IF(A567&lt;46,"31-45",IF(A567&lt;61,"46-60","60+")))</f>
        <v>18-30</v>
      </c>
      <c r="I567" t="str">
        <f>IF(C567&lt;18.5,"Underweight",IF(C567&lt;25,"Normal",IF(C567&lt;30,"Overweight","Obese")))</f>
        <v>Obese</v>
      </c>
      <c r="J567">
        <f>IF(E567="yes",1,0)</f>
        <v>0</v>
      </c>
      <c r="K567" t="str">
        <f>IF(G567&gt;15000,"High","Low")</f>
        <v>Low</v>
      </c>
    </row>
    <row r="568" spans="1:11" x14ac:dyDescent="0.35">
      <c r="A568">
        <v>38</v>
      </c>
      <c r="B568" t="s">
        <v>2</v>
      </c>
      <c r="C568">
        <v>40.564999999999998</v>
      </c>
      <c r="D568">
        <v>1</v>
      </c>
      <c r="E568" t="s">
        <v>4</v>
      </c>
      <c r="F568" t="s">
        <v>0</v>
      </c>
      <c r="G568" s="2">
        <v>6373.55735</v>
      </c>
      <c r="H568" s="1" t="str">
        <f>IF(A568&lt;31,"18-30",IF(A568&lt;46,"31-45",IF(A568&lt;61,"46-60","60+")))</f>
        <v>31-45</v>
      </c>
      <c r="I568" t="str">
        <f>IF(C568&lt;18.5,"Underweight",IF(C568&lt;25,"Normal",IF(C568&lt;30,"Overweight","Obese")))</f>
        <v>Obese</v>
      </c>
      <c r="J568">
        <f>IF(E568="yes",1,0)</f>
        <v>0</v>
      </c>
      <c r="K568" t="str">
        <f>IF(G568&gt;15000,"High","Low")</f>
        <v>Low</v>
      </c>
    </row>
    <row r="569" spans="1:11" x14ac:dyDescent="0.35">
      <c r="A569">
        <v>41</v>
      </c>
      <c r="B569" t="s">
        <v>7</v>
      </c>
      <c r="C569">
        <v>30.59</v>
      </c>
      <c r="D569">
        <v>2</v>
      </c>
      <c r="E569" t="s">
        <v>4</v>
      </c>
      <c r="F569" t="s">
        <v>0</v>
      </c>
      <c r="G569" s="2">
        <v>7256.7231000000002</v>
      </c>
      <c r="H569" s="1" t="str">
        <f>IF(A569&lt;31,"18-30",IF(A569&lt;46,"31-45",IF(A569&lt;61,"46-60","60+")))</f>
        <v>31-45</v>
      </c>
      <c r="I569" t="str">
        <f>IF(C569&lt;18.5,"Underweight",IF(C569&lt;25,"Normal",IF(C569&lt;30,"Overweight","Obese")))</f>
        <v>Obese</v>
      </c>
      <c r="J569">
        <f>IF(E569="yes",1,0)</f>
        <v>0</v>
      </c>
      <c r="K569" t="str">
        <f>IF(G569&gt;15000,"High","Low")</f>
        <v>Low</v>
      </c>
    </row>
    <row r="570" spans="1:11" x14ac:dyDescent="0.35">
      <c r="A570">
        <v>49</v>
      </c>
      <c r="B570" t="s">
        <v>2</v>
      </c>
      <c r="C570">
        <v>31.9</v>
      </c>
      <c r="D570">
        <v>5</v>
      </c>
      <c r="E570" t="s">
        <v>4</v>
      </c>
      <c r="F570" t="s">
        <v>3</v>
      </c>
      <c r="G570" s="2">
        <v>11552.904</v>
      </c>
      <c r="H570" s="1" t="str">
        <f>IF(A570&lt;31,"18-30",IF(A570&lt;46,"31-45",IF(A570&lt;61,"46-60","60+")))</f>
        <v>46-60</v>
      </c>
      <c r="I570" t="str">
        <f>IF(C570&lt;18.5,"Underweight",IF(C570&lt;25,"Normal",IF(C570&lt;30,"Overweight","Obese")))</f>
        <v>Obese</v>
      </c>
      <c r="J570">
        <f>IF(E570="yes",1,0)</f>
        <v>0</v>
      </c>
      <c r="K570" t="str">
        <f>IF(G570&gt;15000,"High","Low")</f>
        <v>Low</v>
      </c>
    </row>
    <row r="571" spans="1:11" x14ac:dyDescent="0.35">
      <c r="A571">
        <v>48</v>
      </c>
      <c r="B571" t="s">
        <v>7</v>
      </c>
      <c r="C571">
        <v>40.564999999999998</v>
      </c>
      <c r="D571">
        <v>2</v>
      </c>
      <c r="E571" t="s">
        <v>1</v>
      </c>
      <c r="F571" t="s">
        <v>0</v>
      </c>
      <c r="G571" s="2">
        <v>45702.022349999999</v>
      </c>
      <c r="H571" s="1" t="str">
        <f>IF(A571&lt;31,"18-30",IF(A571&lt;46,"31-45",IF(A571&lt;61,"46-60","60+")))</f>
        <v>46-60</v>
      </c>
      <c r="I571" t="str">
        <f>IF(C571&lt;18.5,"Underweight",IF(C571&lt;25,"Normal",IF(C571&lt;30,"Overweight","Obese")))</f>
        <v>Obese</v>
      </c>
      <c r="J571">
        <f>IF(E571="yes",1,0)</f>
        <v>1</v>
      </c>
      <c r="K571" t="str">
        <f>IF(G571&gt;15000,"High","Low")</f>
        <v>High</v>
      </c>
    </row>
    <row r="572" spans="1:11" x14ac:dyDescent="0.35">
      <c r="A572">
        <v>31</v>
      </c>
      <c r="B572" t="s">
        <v>2</v>
      </c>
      <c r="C572">
        <v>29.1</v>
      </c>
      <c r="D572">
        <v>0</v>
      </c>
      <c r="E572" t="s">
        <v>4</v>
      </c>
      <c r="F572" t="s">
        <v>3</v>
      </c>
      <c r="G572" s="2">
        <v>3761.2919999999999</v>
      </c>
      <c r="H572" s="1" t="str">
        <f>IF(A572&lt;31,"18-30",IF(A572&lt;46,"31-45",IF(A572&lt;61,"46-60","60+")))</f>
        <v>31-45</v>
      </c>
      <c r="I572" t="str">
        <f>IF(C572&lt;18.5,"Underweight",IF(C572&lt;25,"Normal",IF(C572&lt;30,"Overweight","Obese")))</f>
        <v>Overweight</v>
      </c>
      <c r="J572">
        <f>IF(E572="yes",1,0)</f>
        <v>0</v>
      </c>
      <c r="K572" t="str">
        <f>IF(G572&gt;15000,"High","Low")</f>
        <v>Low</v>
      </c>
    </row>
    <row r="573" spans="1:11" x14ac:dyDescent="0.35">
      <c r="A573">
        <v>18</v>
      </c>
      <c r="B573" t="s">
        <v>2</v>
      </c>
      <c r="C573">
        <v>37.29</v>
      </c>
      <c r="D573">
        <v>1</v>
      </c>
      <c r="E573" t="s">
        <v>4</v>
      </c>
      <c r="F573" t="s">
        <v>5</v>
      </c>
      <c r="G573" s="2">
        <v>2219.4450999999999</v>
      </c>
      <c r="H573" s="1" t="str">
        <f>IF(A573&lt;31,"18-30",IF(A573&lt;46,"31-45",IF(A573&lt;61,"46-60","60+")))</f>
        <v>18-30</v>
      </c>
      <c r="I573" t="str">
        <f>IF(C573&lt;18.5,"Underweight",IF(C573&lt;25,"Normal",IF(C573&lt;30,"Overweight","Obese")))</f>
        <v>Obese</v>
      </c>
      <c r="J573">
        <f>IF(E573="yes",1,0)</f>
        <v>0</v>
      </c>
      <c r="K573" t="str">
        <f>IF(G573&gt;15000,"High","Low")</f>
        <v>Low</v>
      </c>
    </row>
    <row r="574" spans="1:11" x14ac:dyDescent="0.35">
      <c r="A574">
        <v>30</v>
      </c>
      <c r="B574" t="s">
        <v>2</v>
      </c>
      <c r="C574">
        <v>43.12</v>
      </c>
      <c r="D574">
        <v>2</v>
      </c>
      <c r="E574" t="s">
        <v>4</v>
      </c>
      <c r="F574" t="s">
        <v>5</v>
      </c>
      <c r="G574" s="2">
        <v>4753.6368000000002</v>
      </c>
      <c r="H574" s="1" t="str">
        <f>IF(A574&lt;31,"18-30",IF(A574&lt;46,"31-45",IF(A574&lt;61,"46-60","60+")))</f>
        <v>18-30</v>
      </c>
      <c r="I574" t="str">
        <f>IF(C574&lt;18.5,"Underweight",IF(C574&lt;25,"Normal",IF(C574&lt;30,"Overweight","Obese")))</f>
        <v>Obese</v>
      </c>
      <c r="J574">
        <f>IF(E574="yes",1,0)</f>
        <v>0</v>
      </c>
      <c r="K574" t="str">
        <f>IF(G574&gt;15000,"High","Low")</f>
        <v>Low</v>
      </c>
    </row>
    <row r="575" spans="1:11" x14ac:dyDescent="0.35">
      <c r="A575">
        <v>62</v>
      </c>
      <c r="B575" t="s">
        <v>2</v>
      </c>
      <c r="C575">
        <v>36.86</v>
      </c>
      <c r="D575">
        <v>1</v>
      </c>
      <c r="E575" t="s">
        <v>4</v>
      </c>
      <c r="F575" t="s">
        <v>6</v>
      </c>
      <c r="G575" s="2">
        <v>31620.001059999999</v>
      </c>
      <c r="H575" s="1" t="str">
        <f>IF(A575&lt;31,"18-30",IF(A575&lt;46,"31-45",IF(A575&lt;61,"46-60","60+")))</f>
        <v>60+</v>
      </c>
      <c r="I575" t="str">
        <f>IF(C575&lt;18.5,"Underweight",IF(C575&lt;25,"Normal",IF(C575&lt;30,"Overweight","Obese")))</f>
        <v>Obese</v>
      </c>
      <c r="J575">
        <f>IF(E575="yes",1,0)</f>
        <v>0</v>
      </c>
      <c r="K575" t="str">
        <f>IF(G575&gt;15000,"High","Low")</f>
        <v>High</v>
      </c>
    </row>
    <row r="576" spans="1:11" x14ac:dyDescent="0.35">
      <c r="A576">
        <v>57</v>
      </c>
      <c r="B576" t="s">
        <v>2</v>
      </c>
      <c r="C576">
        <v>34.295000000000002</v>
      </c>
      <c r="D576">
        <v>2</v>
      </c>
      <c r="E576" t="s">
        <v>4</v>
      </c>
      <c r="F576" t="s">
        <v>6</v>
      </c>
      <c r="G576" s="2">
        <v>13224.057049999999</v>
      </c>
      <c r="H576" s="1" t="str">
        <f>IF(A576&lt;31,"18-30",IF(A576&lt;46,"31-45",IF(A576&lt;61,"46-60","60+")))</f>
        <v>46-60</v>
      </c>
      <c r="I576" t="str">
        <f>IF(C576&lt;18.5,"Underweight",IF(C576&lt;25,"Normal",IF(C576&lt;30,"Overweight","Obese")))</f>
        <v>Obese</v>
      </c>
      <c r="J576">
        <f>IF(E576="yes",1,0)</f>
        <v>0</v>
      </c>
      <c r="K576" t="str">
        <f>IF(G576&gt;15000,"High","Low")</f>
        <v>Low</v>
      </c>
    </row>
    <row r="577" spans="1:11" x14ac:dyDescent="0.35">
      <c r="A577">
        <v>58</v>
      </c>
      <c r="B577" t="s">
        <v>2</v>
      </c>
      <c r="C577">
        <v>27.17</v>
      </c>
      <c r="D577">
        <v>0</v>
      </c>
      <c r="E577" t="s">
        <v>4</v>
      </c>
      <c r="F577" t="s">
        <v>0</v>
      </c>
      <c r="G577" s="2">
        <v>12222.898300000001</v>
      </c>
      <c r="H577" s="1" t="str">
        <f>IF(A577&lt;31,"18-30",IF(A577&lt;46,"31-45",IF(A577&lt;61,"46-60","60+")))</f>
        <v>46-60</v>
      </c>
      <c r="I577" t="str">
        <f>IF(C577&lt;18.5,"Underweight",IF(C577&lt;25,"Normal",IF(C577&lt;30,"Overweight","Obese")))</f>
        <v>Overweight</v>
      </c>
      <c r="J577">
        <f>IF(E577="yes",1,0)</f>
        <v>0</v>
      </c>
      <c r="K577" t="str">
        <f>IF(G577&gt;15000,"High","Low")</f>
        <v>Low</v>
      </c>
    </row>
    <row r="578" spans="1:11" x14ac:dyDescent="0.35">
      <c r="A578">
        <v>22</v>
      </c>
      <c r="B578" t="s">
        <v>7</v>
      </c>
      <c r="C578">
        <v>26.84</v>
      </c>
      <c r="D578">
        <v>0</v>
      </c>
      <c r="E578" t="s">
        <v>4</v>
      </c>
      <c r="F578" t="s">
        <v>5</v>
      </c>
      <c r="G578" s="2">
        <v>1664.9996000000001</v>
      </c>
      <c r="H578" s="1" t="str">
        <f>IF(A578&lt;31,"18-30",IF(A578&lt;46,"31-45",IF(A578&lt;61,"46-60","60+")))</f>
        <v>18-30</v>
      </c>
      <c r="I578" t="str">
        <f>IF(C578&lt;18.5,"Underweight",IF(C578&lt;25,"Normal",IF(C578&lt;30,"Overweight","Obese")))</f>
        <v>Overweight</v>
      </c>
      <c r="J578">
        <f>IF(E578="yes",1,0)</f>
        <v>0</v>
      </c>
      <c r="K578" t="str">
        <f>IF(G578&gt;15000,"High","Low")</f>
        <v>Low</v>
      </c>
    </row>
    <row r="579" spans="1:11" x14ac:dyDescent="0.35">
      <c r="A579">
        <v>31</v>
      </c>
      <c r="B579" t="s">
        <v>2</v>
      </c>
      <c r="C579">
        <v>38.094999999999999</v>
      </c>
      <c r="D579">
        <v>1</v>
      </c>
      <c r="E579" t="s">
        <v>1</v>
      </c>
      <c r="F579" t="s">
        <v>6</v>
      </c>
      <c r="G579" s="2">
        <v>58571.074480000003</v>
      </c>
      <c r="H579" s="1" t="str">
        <f>IF(A579&lt;31,"18-30",IF(A579&lt;46,"31-45",IF(A579&lt;61,"46-60","60+")))</f>
        <v>31-45</v>
      </c>
      <c r="I579" t="str">
        <f>IF(C579&lt;18.5,"Underweight",IF(C579&lt;25,"Normal",IF(C579&lt;30,"Overweight","Obese")))</f>
        <v>Obese</v>
      </c>
      <c r="J579">
        <f>IF(E579="yes",1,0)</f>
        <v>1</v>
      </c>
      <c r="K579" t="str">
        <f>IF(G579&gt;15000,"High","Low")</f>
        <v>High</v>
      </c>
    </row>
    <row r="580" spans="1:11" x14ac:dyDescent="0.35">
      <c r="A580">
        <v>52</v>
      </c>
      <c r="B580" t="s">
        <v>7</v>
      </c>
      <c r="C580">
        <v>30.2</v>
      </c>
      <c r="D580">
        <v>1</v>
      </c>
      <c r="E580" t="s">
        <v>4</v>
      </c>
      <c r="F580" t="s">
        <v>3</v>
      </c>
      <c r="G580" s="2">
        <v>9724.5300000000007</v>
      </c>
      <c r="H580" s="1" t="str">
        <f>IF(A580&lt;31,"18-30",IF(A580&lt;46,"31-45",IF(A580&lt;61,"46-60","60+")))</f>
        <v>46-60</v>
      </c>
      <c r="I580" t="str">
        <f>IF(C580&lt;18.5,"Underweight",IF(C580&lt;25,"Normal",IF(C580&lt;30,"Overweight","Obese")))</f>
        <v>Obese</v>
      </c>
      <c r="J580">
        <f>IF(E580="yes",1,0)</f>
        <v>0</v>
      </c>
      <c r="K580" t="str">
        <f>IF(G580&gt;15000,"High","Low")</f>
        <v>Low</v>
      </c>
    </row>
    <row r="581" spans="1:11" x14ac:dyDescent="0.35">
      <c r="A581">
        <v>25</v>
      </c>
      <c r="B581" t="s">
        <v>2</v>
      </c>
      <c r="C581">
        <v>23.465</v>
      </c>
      <c r="D581">
        <v>0</v>
      </c>
      <c r="E581" t="s">
        <v>4</v>
      </c>
      <c r="F581" t="s">
        <v>6</v>
      </c>
      <c r="G581" s="2">
        <v>3206.4913499999998</v>
      </c>
      <c r="H581" s="1" t="str">
        <f>IF(A581&lt;31,"18-30",IF(A581&lt;46,"31-45",IF(A581&lt;61,"46-60","60+")))</f>
        <v>18-30</v>
      </c>
      <c r="I581" t="str">
        <f>IF(C581&lt;18.5,"Underweight",IF(C581&lt;25,"Normal",IF(C581&lt;30,"Overweight","Obese")))</f>
        <v>Normal</v>
      </c>
      <c r="J581">
        <f>IF(E581="yes",1,0)</f>
        <v>0</v>
      </c>
      <c r="K581" t="str">
        <f>IF(G581&gt;15000,"High","Low")</f>
        <v>Low</v>
      </c>
    </row>
    <row r="582" spans="1:11" x14ac:dyDescent="0.35">
      <c r="A582">
        <v>59</v>
      </c>
      <c r="B582" t="s">
        <v>7</v>
      </c>
      <c r="C582">
        <v>25.46</v>
      </c>
      <c r="D582">
        <v>1</v>
      </c>
      <c r="E582" t="s">
        <v>4</v>
      </c>
      <c r="F582" t="s">
        <v>6</v>
      </c>
      <c r="G582" s="2">
        <v>12913.992399999999</v>
      </c>
      <c r="H582" s="1" t="str">
        <f>IF(A582&lt;31,"18-30",IF(A582&lt;46,"31-45",IF(A582&lt;61,"46-60","60+")))</f>
        <v>46-60</v>
      </c>
      <c r="I582" t="str">
        <f>IF(C582&lt;18.5,"Underweight",IF(C582&lt;25,"Normal",IF(C582&lt;30,"Overweight","Obese")))</f>
        <v>Overweight</v>
      </c>
      <c r="J582">
        <f>IF(E582="yes",1,0)</f>
        <v>0</v>
      </c>
      <c r="K582" t="str">
        <f>IF(G582&gt;15000,"High","Low")</f>
        <v>Low</v>
      </c>
    </row>
    <row r="583" spans="1:11" x14ac:dyDescent="0.35">
      <c r="A583">
        <v>19</v>
      </c>
      <c r="B583" t="s">
        <v>7</v>
      </c>
      <c r="C583">
        <v>30.59</v>
      </c>
      <c r="D583">
        <v>0</v>
      </c>
      <c r="E583" t="s">
        <v>4</v>
      </c>
      <c r="F583" t="s">
        <v>0</v>
      </c>
      <c r="G583" s="2">
        <v>1639.5631000000001</v>
      </c>
      <c r="H583" s="1" t="str">
        <f>IF(A583&lt;31,"18-30",IF(A583&lt;46,"31-45",IF(A583&lt;61,"46-60","60+")))</f>
        <v>18-30</v>
      </c>
      <c r="I583" t="str">
        <f>IF(C583&lt;18.5,"Underweight",IF(C583&lt;25,"Normal",IF(C583&lt;30,"Overweight","Obese")))</f>
        <v>Obese</v>
      </c>
      <c r="J583">
        <f>IF(E583="yes",1,0)</f>
        <v>0</v>
      </c>
      <c r="K583" t="str">
        <f>IF(G583&gt;15000,"High","Low")</f>
        <v>Low</v>
      </c>
    </row>
    <row r="584" spans="1:11" x14ac:dyDescent="0.35">
      <c r="A584">
        <v>39</v>
      </c>
      <c r="B584" t="s">
        <v>7</v>
      </c>
      <c r="C584">
        <v>45.43</v>
      </c>
      <c r="D584">
        <v>2</v>
      </c>
      <c r="E584" t="s">
        <v>4</v>
      </c>
      <c r="F584" t="s">
        <v>5</v>
      </c>
      <c r="G584" s="2">
        <v>6356.2707</v>
      </c>
      <c r="H584" s="1" t="str">
        <f>IF(A584&lt;31,"18-30",IF(A584&lt;46,"31-45",IF(A584&lt;61,"46-60","60+")))</f>
        <v>31-45</v>
      </c>
      <c r="I584" t="str">
        <f>IF(C584&lt;18.5,"Underweight",IF(C584&lt;25,"Normal",IF(C584&lt;30,"Overweight","Obese")))</f>
        <v>Obese</v>
      </c>
      <c r="J584">
        <f>IF(E584="yes",1,0)</f>
        <v>0</v>
      </c>
      <c r="K584" t="str">
        <f>IF(G584&gt;15000,"High","Low")</f>
        <v>Low</v>
      </c>
    </row>
    <row r="585" spans="1:11" x14ac:dyDescent="0.35">
      <c r="A585">
        <v>32</v>
      </c>
      <c r="B585" t="s">
        <v>2</v>
      </c>
      <c r="C585">
        <v>23.65</v>
      </c>
      <c r="D585">
        <v>1</v>
      </c>
      <c r="E585" t="s">
        <v>4</v>
      </c>
      <c r="F585" t="s">
        <v>5</v>
      </c>
      <c r="G585" s="2">
        <v>17626.239509999999</v>
      </c>
      <c r="H585" s="1" t="str">
        <f>IF(A585&lt;31,"18-30",IF(A585&lt;46,"31-45",IF(A585&lt;61,"46-60","60+")))</f>
        <v>31-45</v>
      </c>
      <c r="I585" t="str">
        <f>IF(C585&lt;18.5,"Underweight",IF(C585&lt;25,"Normal",IF(C585&lt;30,"Overweight","Obese")))</f>
        <v>Normal</v>
      </c>
      <c r="J585">
        <f>IF(E585="yes",1,0)</f>
        <v>0</v>
      </c>
      <c r="K585" t="str">
        <f>IF(G585&gt;15000,"High","Low")</f>
        <v>High</v>
      </c>
    </row>
    <row r="586" spans="1:11" x14ac:dyDescent="0.35">
      <c r="A586">
        <v>19</v>
      </c>
      <c r="B586" t="s">
        <v>7</v>
      </c>
      <c r="C586">
        <v>20.7</v>
      </c>
      <c r="D586">
        <v>0</v>
      </c>
      <c r="E586" t="s">
        <v>4</v>
      </c>
      <c r="F586" t="s">
        <v>3</v>
      </c>
      <c r="G586" s="2">
        <v>1242.816</v>
      </c>
      <c r="H586" s="1" t="str">
        <f>IF(A586&lt;31,"18-30",IF(A586&lt;46,"31-45",IF(A586&lt;61,"46-60","60+")))</f>
        <v>18-30</v>
      </c>
      <c r="I586" t="str">
        <f>IF(C586&lt;18.5,"Underweight",IF(C586&lt;25,"Normal",IF(C586&lt;30,"Overweight","Obese")))</f>
        <v>Normal</v>
      </c>
      <c r="J586">
        <f>IF(E586="yes",1,0)</f>
        <v>0</v>
      </c>
      <c r="K586" t="str">
        <f>IF(G586&gt;15000,"High","Low")</f>
        <v>Low</v>
      </c>
    </row>
    <row r="587" spans="1:11" x14ac:dyDescent="0.35">
      <c r="A587">
        <v>33</v>
      </c>
      <c r="B587" t="s">
        <v>2</v>
      </c>
      <c r="C587">
        <v>28.27</v>
      </c>
      <c r="D587">
        <v>1</v>
      </c>
      <c r="E587" t="s">
        <v>4</v>
      </c>
      <c r="F587" t="s">
        <v>5</v>
      </c>
      <c r="G587" s="2">
        <v>4779.6022999999996</v>
      </c>
      <c r="H587" s="1" t="str">
        <f>IF(A587&lt;31,"18-30",IF(A587&lt;46,"31-45",IF(A587&lt;61,"46-60","60+")))</f>
        <v>31-45</v>
      </c>
      <c r="I587" t="str">
        <f>IF(C587&lt;18.5,"Underweight",IF(C587&lt;25,"Normal",IF(C587&lt;30,"Overweight","Obese")))</f>
        <v>Overweight</v>
      </c>
      <c r="J587">
        <f>IF(E587="yes",1,0)</f>
        <v>0</v>
      </c>
      <c r="K587" t="str">
        <f>IF(G587&gt;15000,"High","Low")</f>
        <v>Low</v>
      </c>
    </row>
    <row r="588" spans="1:11" x14ac:dyDescent="0.35">
      <c r="A588">
        <v>21</v>
      </c>
      <c r="B588" t="s">
        <v>7</v>
      </c>
      <c r="C588">
        <v>20.234999999999999</v>
      </c>
      <c r="D588">
        <v>3</v>
      </c>
      <c r="E588" t="s">
        <v>4</v>
      </c>
      <c r="F588" t="s">
        <v>6</v>
      </c>
      <c r="G588" s="2">
        <v>3861.2096499999998</v>
      </c>
      <c r="H588" s="1" t="str">
        <f>IF(A588&lt;31,"18-30",IF(A588&lt;46,"31-45",IF(A588&lt;61,"46-60","60+")))</f>
        <v>18-30</v>
      </c>
      <c r="I588" t="str">
        <f>IF(C588&lt;18.5,"Underweight",IF(C588&lt;25,"Normal",IF(C588&lt;30,"Overweight","Obese")))</f>
        <v>Normal</v>
      </c>
      <c r="J588">
        <f>IF(E588="yes",1,0)</f>
        <v>0</v>
      </c>
      <c r="K588" t="str">
        <f>IF(G588&gt;15000,"High","Low")</f>
        <v>Low</v>
      </c>
    </row>
    <row r="589" spans="1:11" x14ac:dyDescent="0.35">
      <c r="A589">
        <v>34</v>
      </c>
      <c r="B589" t="s">
        <v>2</v>
      </c>
      <c r="C589">
        <v>30.21</v>
      </c>
      <c r="D589">
        <v>1</v>
      </c>
      <c r="E589" t="s">
        <v>1</v>
      </c>
      <c r="F589" t="s">
        <v>0</v>
      </c>
      <c r="G589" s="2">
        <v>43943.876100000001</v>
      </c>
      <c r="H589" s="1" t="str">
        <f>IF(A589&lt;31,"18-30",IF(A589&lt;46,"31-45",IF(A589&lt;61,"46-60","60+")))</f>
        <v>31-45</v>
      </c>
      <c r="I589" t="str">
        <f>IF(C589&lt;18.5,"Underweight",IF(C589&lt;25,"Normal",IF(C589&lt;30,"Overweight","Obese")))</f>
        <v>Obese</v>
      </c>
      <c r="J589">
        <f>IF(E589="yes",1,0)</f>
        <v>1</v>
      </c>
      <c r="K589" t="str">
        <f>IF(G589&gt;15000,"High","Low")</f>
        <v>High</v>
      </c>
    </row>
    <row r="590" spans="1:11" x14ac:dyDescent="0.35">
      <c r="A590">
        <v>61</v>
      </c>
      <c r="B590" t="s">
        <v>2</v>
      </c>
      <c r="C590">
        <v>35.909999999999997</v>
      </c>
      <c r="D590">
        <v>0</v>
      </c>
      <c r="E590" t="s">
        <v>4</v>
      </c>
      <c r="F590" t="s">
        <v>6</v>
      </c>
      <c r="G590" s="2">
        <v>13635.6379</v>
      </c>
      <c r="H590" s="1" t="str">
        <f>IF(A590&lt;31,"18-30",IF(A590&lt;46,"31-45",IF(A590&lt;61,"46-60","60+")))</f>
        <v>60+</v>
      </c>
      <c r="I590" t="str">
        <f>IF(C590&lt;18.5,"Underweight",IF(C590&lt;25,"Normal",IF(C590&lt;30,"Overweight","Obese")))</f>
        <v>Obese</v>
      </c>
      <c r="J590">
        <f>IF(E590="yes",1,0)</f>
        <v>0</v>
      </c>
      <c r="K590" t="str">
        <f>IF(G590&gt;15000,"High","Low")</f>
        <v>Low</v>
      </c>
    </row>
    <row r="591" spans="1:11" x14ac:dyDescent="0.35">
      <c r="A591">
        <v>38</v>
      </c>
      <c r="B591" t="s">
        <v>2</v>
      </c>
      <c r="C591">
        <v>30.69</v>
      </c>
      <c r="D591">
        <v>1</v>
      </c>
      <c r="E591" t="s">
        <v>4</v>
      </c>
      <c r="F591" t="s">
        <v>5</v>
      </c>
      <c r="G591" s="2">
        <v>5976.8311000000003</v>
      </c>
      <c r="H591" s="1" t="str">
        <f>IF(A591&lt;31,"18-30",IF(A591&lt;46,"31-45",IF(A591&lt;61,"46-60","60+")))</f>
        <v>31-45</v>
      </c>
      <c r="I591" t="str">
        <f>IF(C591&lt;18.5,"Underweight",IF(C591&lt;25,"Normal",IF(C591&lt;30,"Overweight","Obese")))</f>
        <v>Obese</v>
      </c>
      <c r="J591">
        <f>IF(E591="yes",1,0)</f>
        <v>0</v>
      </c>
      <c r="K591" t="str">
        <f>IF(G591&gt;15000,"High","Low")</f>
        <v>Low</v>
      </c>
    </row>
    <row r="592" spans="1:11" x14ac:dyDescent="0.35">
      <c r="A592">
        <v>58</v>
      </c>
      <c r="B592" t="s">
        <v>2</v>
      </c>
      <c r="C592">
        <v>29</v>
      </c>
      <c r="D592">
        <v>0</v>
      </c>
      <c r="E592" t="s">
        <v>4</v>
      </c>
      <c r="F592" t="s">
        <v>3</v>
      </c>
      <c r="G592" s="2">
        <v>11842.441999999999</v>
      </c>
      <c r="H592" s="1" t="str">
        <f>IF(A592&lt;31,"18-30",IF(A592&lt;46,"31-45",IF(A592&lt;61,"46-60","60+")))</f>
        <v>46-60</v>
      </c>
      <c r="I592" t="str">
        <f>IF(C592&lt;18.5,"Underweight",IF(C592&lt;25,"Normal",IF(C592&lt;30,"Overweight","Obese")))</f>
        <v>Overweight</v>
      </c>
      <c r="J592">
        <f>IF(E592="yes",1,0)</f>
        <v>0</v>
      </c>
      <c r="K592" t="str">
        <f>IF(G592&gt;15000,"High","Low")</f>
        <v>Low</v>
      </c>
    </row>
    <row r="593" spans="1:11" x14ac:dyDescent="0.35">
      <c r="A593">
        <v>47</v>
      </c>
      <c r="B593" t="s">
        <v>7</v>
      </c>
      <c r="C593">
        <v>19.57</v>
      </c>
      <c r="D593">
        <v>1</v>
      </c>
      <c r="E593" t="s">
        <v>4</v>
      </c>
      <c r="F593" t="s">
        <v>0</v>
      </c>
      <c r="G593" s="2">
        <v>8428.0692999999992</v>
      </c>
      <c r="H593" s="1" t="str">
        <f>IF(A593&lt;31,"18-30",IF(A593&lt;46,"31-45",IF(A593&lt;61,"46-60","60+")))</f>
        <v>46-60</v>
      </c>
      <c r="I593" t="str">
        <f>IF(C593&lt;18.5,"Underweight",IF(C593&lt;25,"Normal",IF(C593&lt;30,"Overweight","Obese")))</f>
        <v>Normal</v>
      </c>
      <c r="J593">
        <f>IF(E593="yes",1,0)</f>
        <v>0</v>
      </c>
      <c r="K593" t="str">
        <f>IF(G593&gt;15000,"High","Low")</f>
        <v>Low</v>
      </c>
    </row>
    <row r="594" spans="1:11" x14ac:dyDescent="0.35">
      <c r="A594">
        <v>20</v>
      </c>
      <c r="B594" t="s">
        <v>7</v>
      </c>
      <c r="C594">
        <v>31.13</v>
      </c>
      <c r="D594">
        <v>2</v>
      </c>
      <c r="E594" t="s">
        <v>4</v>
      </c>
      <c r="F594" t="s">
        <v>5</v>
      </c>
      <c r="G594" s="2">
        <v>2566.4706999999999</v>
      </c>
      <c r="H594" s="1" t="str">
        <f>IF(A594&lt;31,"18-30",IF(A594&lt;46,"31-45",IF(A594&lt;61,"46-60","60+")))</f>
        <v>18-30</v>
      </c>
      <c r="I594" t="str">
        <f>IF(C594&lt;18.5,"Underweight",IF(C594&lt;25,"Normal",IF(C594&lt;30,"Overweight","Obese")))</f>
        <v>Obese</v>
      </c>
      <c r="J594">
        <f>IF(E594="yes",1,0)</f>
        <v>0</v>
      </c>
      <c r="K594" t="str">
        <f>IF(G594&gt;15000,"High","Low")</f>
        <v>Low</v>
      </c>
    </row>
    <row r="595" spans="1:11" x14ac:dyDescent="0.35">
      <c r="A595">
        <v>21</v>
      </c>
      <c r="B595" t="s">
        <v>2</v>
      </c>
      <c r="C595">
        <v>21.85</v>
      </c>
      <c r="D595">
        <v>1</v>
      </c>
      <c r="E595" t="s">
        <v>1</v>
      </c>
      <c r="F595" t="s">
        <v>6</v>
      </c>
      <c r="G595" s="2">
        <v>15359.104499999999</v>
      </c>
      <c r="H595" s="1" t="str">
        <f>IF(A595&lt;31,"18-30",IF(A595&lt;46,"31-45",IF(A595&lt;61,"46-60","60+")))</f>
        <v>18-30</v>
      </c>
      <c r="I595" t="str">
        <f>IF(C595&lt;18.5,"Underweight",IF(C595&lt;25,"Normal",IF(C595&lt;30,"Overweight","Obese")))</f>
        <v>Normal</v>
      </c>
      <c r="J595">
        <f>IF(E595="yes",1,0)</f>
        <v>1</v>
      </c>
      <c r="K595" t="str">
        <f>IF(G595&gt;15000,"High","Low")</f>
        <v>High</v>
      </c>
    </row>
    <row r="596" spans="1:11" x14ac:dyDescent="0.35">
      <c r="A596">
        <v>41</v>
      </c>
      <c r="B596" t="s">
        <v>7</v>
      </c>
      <c r="C596">
        <v>40.26</v>
      </c>
      <c r="D596">
        <v>0</v>
      </c>
      <c r="E596" t="s">
        <v>4</v>
      </c>
      <c r="F596" t="s">
        <v>5</v>
      </c>
      <c r="G596" s="2">
        <v>5709.1643999999997</v>
      </c>
      <c r="H596" s="1" t="str">
        <f>IF(A596&lt;31,"18-30",IF(A596&lt;46,"31-45",IF(A596&lt;61,"46-60","60+")))</f>
        <v>31-45</v>
      </c>
      <c r="I596" t="str">
        <f>IF(C596&lt;18.5,"Underweight",IF(C596&lt;25,"Normal",IF(C596&lt;30,"Overweight","Obese")))</f>
        <v>Obese</v>
      </c>
      <c r="J596">
        <f>IF(E596="yes",1,0)</f>
        <v>0</v>
      </c>
      <c r="K596" t="str">
        <f>IF(G596&gt;15000,"High","Low")</f>
        <v>Low</v>
      </c>
    </row>
    <row r="597" spans="1:11" x14ac:dyDescent="0.35">
      <c r="A597">
        <v>46</v>
      </c>
      <c r="B597" t="s">
        <v>2</v>
      </c>
      <c r="C597">
        <v>33.725000000000001</v>
      </c>
      <c r="D597">
        <v>1</v>
      </c>
      <c r="E597" t="s">
        <v>4</v>
      </c>
      <c r="F597" t="s">
        <v>6</v>
      </c>
      <c r="G597" s="2">
        <v>8823.9857499999998</v>
      </c>
      <c r="H597" s="1" t="str">
        <f>IF(A597&lt;31,"18-30",IF(A597&lt;46,"31-45",IF(A597&lt;61,"46-60","60+")))</f>
        <v>46-60</v>
      </c>
      <c r="I597" t="str">
        <f>IF(C597&lt;18.5,"Underweight",IF(C597&lt;25,"Normal",IF(C597&lt;30,"Overweight","Obese")))</f>
        <v>Obese</v>
      </c>
      <c r="J597">
        <f>IF(E597="yes",1,0)</f>
        <v>0</v>
      </c>
      <c r="K597" t="str">
        <f>IF(G597&gt;15000,"High","Low")</f>
        <v>Low</v>
      </c>
    </row>
    <row r="598" spans="1:11" x14ac:dyDescent="0.35">
      <c r="A598">
        <v>42</v>
      </c>
      <c r="B598" t="s">
        <v>2</v>
      </c>
      <c r="C598">
        <v>29.48</v>
      </c>
      <c r="D598">
        <v>2</v>
      </c>
      <c r="E598" t="s">
        <v>4</v>
      </c>
      <c r="F598" t="s">
        <v>5</v>
      </c>
      <c r="G598" s="2">
        <v>7640.3091999999997</v>
      </c>
      <c r="H598" s="1" t="str">
        <f>IF(A598&lt;31,"18-30",IF(A598&lt;46,"31-45",IF(A598&lt;61,"46-60","60+")))</f>
        <v>31-45</v>
      </c>
      <c r="I598" t="str">
        <f>IF(C598&lt;18.5,"Underweight",IF(C598&lt;25,"Normal",IF(C598&lt;30,"Overweight","Obese")))</f>
        <v>Overweight</v>
      </c>
      <c r="J598">
        <f>IF(E598="yes",1,0)</f>
        <v>0</v>
      </c>
      <c r="K598" t="str">
        <f>IF(G598&gt;15000,"High","Low")</f>
        <v>Low</v>
      </c>
    </row>
    <row r="599" spans="1:11" x14ac:dyDescent="0.35">
      <c r="A599">
        <v>34</v>
      </c>
      <c r="B599" t="s">
        <v>2</v>
      </c>
      <c r="C599">
        <v>33.25</v>
      </c>
      <c r="D599">
        <v>1</v>
      </c>
      <c r="E599" t="s">
        <v>4</v>
      </c>
      <c r="F599" t="s">
        <v>6</v>
      </c>
      <c r="G599" s="2">
        <v>5594.8455000000004</v>
      </c>
      <c r="H599" s="1" t="str">
        <f>IF(A599&lt;31,"18-30",IF(A599&lt;46,"31-45",IF(A599&lt;61,"46-60","60+")))</f>
        <v>31-45</v>
      </c>
      <c r="I599" t="str">
        <f>IF(C599&lt;18.5,"Underweight",IF(C599&lt;25,"Normal",IF(C599&lt;30,"Overweight","Obese")))</f>
        <v>Obese</v>
      </c>
      <c r="J599">
        <f>IF(E599="yes",1,0)</f>
        <v>0</v>
      </c>
      <c r="K599" t="str">
        <f>IF(G599&gt;15000,"High","Low")</f>
        <v>Low</v>
      </c>
    </row>
    <row r="600" spans="1:11" x14ac:dyDescent="0.35">
      <c r="A600">
        <v>43</v>
      </c>
      <c r="B600" t="s">
        <v>7</v>
      </c>
      <c r="C600">
        <v>32.6</v>
      </c>
      <c r="D600">
        <v>2</v>
      </c>
      <c r="E600" t="s">
        <v>4</v>
      </c>
      <c r="F600" t="s">
        <v>3</v>
      </c>
      <c r="G600" s="2">
        <v>7441.5010000000002</v>
      </c>
      <c r="H600" s="1" t="str">
        <f>IF(A600&lt;31,"18-30",IF(A600&lt;46,"31-45",IF(A600&lt;61,"46-60","60+")))</f>
        <v>31-45</v>
      </c>
      <c r="I600" t="str">
        <f>IF(C600&lt;18.5,"Underweight",IF(C600&lt;25,"Normal",IF(C600&lt;30,"Overweight","Obese")))</f>
        <v>Obese</v>
      </c>
      <c r="J600">
        <f>IF(E600="yes",1,0)</f>
        <v>0</v>
      </c>
      <c r="K600" t="str">
        <f>IF(G600&gt;15000,"High","Low")</f>
        <v>Low</v>
      </c>
    </row>
    <row r="601" spans="1:11" x14ac:dyDescent="0.35">
      <c r="A601">
        <v>52</v>
      </c>
      <c r="B601" t="s">
        <v>2</v>
      </c>
      <c r="C601">
        <v>37.524999999999999</v>
      </c>
      <c r="D601">
        <v>2</v>
      </c>
      <c r="E601" t="s">
        <v>4</v>
      </c>
      <c r="F601" t="s">
        <v>0</v>
      </c>
      <c r="G601" s="2">
        <v>33471.971890000001</v>
      </c>
      <c r="H601" s="1" t="str">
        <f>IF(A601&lt;31,"18-30",IF(A601&lt;46,"31-45",IF(A601&lt;61,"46-60","60+")))</f>
        <v>46-60</v>
      </c>
      <c r="I601" t="str">
        <f>IF(C601&lt;18.5,"Underweight",IF(C601&lt;25,"Normal",IF(C601&lt;30,"Overweight","Obese")))</f>
        <v>Obese</v>
      </c>
      <c r="J601">
        <f>IF(E601="yes",1,0)</f>
        <v>0</v>
      </c>
      <c r="K601" t="str">
        <f>IF(G601&gt;15000,"High","Low")</f>
        <v>High</v>
      </c>
    </row>
    <row r="602" spans="1:11" x14ac:dyDescent="0.35">
      <c r="A602">
        <v>18</v>
      </c>
      <c r="B602" t="s">
        <v>2</v>
      </c>
      <c r="C602">
        <v>39.159999999999997</v>
      </c>
      <c r="D602">
        <v>0</v>
      </c>
      <c r="E602" t="s">
        <v>4</v>
      </c>
      <c r="F602" t="s">
        <v>5</v>
      </c>
      <c r="G602" s="2">
        <v>1633.0444</v>
      </c>
      <c r="H602" s="1" t="str">
        <f>IF(A602&lt;31,"18-30",IF(A602&lt;46,"31-45",IF(A602&lt;61,"46-60","60+")))</f>
        <v>18-30</v>
      </c>
      <c r="I602" t="str">
        <f>IF(C602&lt;18.5,"Underweight",IF(C602&lt;25,"Normal",IF(C602&lt;30,"Overweight","Obese")))</f>
        <v>Obese</v>
      </c>
      <c r="J602">
        <f>IF(E602="yes",1,0)</f>
        <v>0</v>
      </c>
      <c r="K602" t="str">
        <f>IF(G602&gt;15000,"High","Low")</f>
        <v>Low</v>
      </c>
    </row>
    <row r="603" spans="1:11" x14ac:dyDescent="0.35">
      <c r="A603">
        <v>51</v>
      </c>
      <c r="B603" t="s">
        <v>7</v>
      </c>
      <c r="C603">
        <v>31.635000000000002</v>
      </c>
      <c r="D603">
        <v>0</v>
      </c>
      <c r="E603" t="s">
        <v>4</v>
      </c>
      <c r="F603" t="s">
        <v>0</v>
      </c>
      <c r="G603" s="2">
        <v>9174.1356500000002</v>
      </c>
      <c r="H603" s="1" t="str">
        <f>IF(A603&lt;31,"18-30",IF(A603&lt;46,"31-45",IF(A603&lt;61,"46-60","60+")))</f>
        <v>46-60</v>
      </c>
      <c r="I603" t="str">
        <f>IF(C603&lt;18.5,"Underweight",IF(C603&lt;25,"Normal",IF(C603&lt;30,"Overweight","Obese")))</f>
        <v>Obese</v>
      </c>
      <c r="J603">
        <f>IF(E603="yes",1,0)</f>
        <v>0</v>
      </c>
      <c r="K603" t="str">
        <f>IF(G603&gt;15000,"High","Low")</f>
        <v>Low</v>
      </c>
    </row>
    <row r="604" spans="1:11" x14ac:dyDescent="0.35">
      <c r="A604">
        <v>56</v>
      </c>
      <c r="B604" t="s">
        <v>2</v>
      </c>
      <c r="C604">
        <v>25.3</v>
      </c>
      <c r="D604">
        <v>0</v>
      </c>
      <c r="E604" t="s">
        <v>4</v>
      </c>
      <c r="F604" t="s">
        <v>3</v>
      </c>
      <c r="G604" s="2">
        <v>11070.535</v>
      </c>
      <c r="H604" s="1" t="str">
        <f>IF(A604&lt;31,"18-30",IF(A604&lt;46,"31-45",IF(A604&lt;61,"46-60","60+")))</f>
        <v>46-60</v>
      </c>
      <c r="I604" t="str">
        <f>IF(C604&lt;18.5,"Underweight",IF(C604&lt;25,"Normal",IF(C604&lt;30,"Overweight","Obese")))</f>
        <v>Overweight</v>
      </c>
      <c r="J604">
        <f>IF(E604="yes",1,0)</f>
        <v>0</v>
      </c>
      <c r="K604" t="str">
        <f>IF(G604&gt;15000,"High","Low")</f>
        <v>Low</v>
      </c>
    </row>
    <row r="605" spans="1:11" x14ac:dyDescent="0.35">
      <c r="A605">
        <v>64</v>
      </c>
      <c r="B605" t="s">
        <v>2</v>
      </c>
      <c r="C605">
        <v>39.049999999999997</v>
      </c>
      <c r="D605">
        <v>3</v>
      </c>
      <c r="E605" t="s">
        <v>4</v>
      </c>
      <c r="F605" t="s">
        <v>5</v>
      </c>
      <c r="G605" s="2">
        <v>16085.127500000001</v>
      </c>
      <c r="H605" s="1" t="str">
        <f>IF(A605&lt;31,"18-30",IF(A605&lt;46,"31-45",IF(A605&lt;61,"46-60","60+")))</f>
        <v>60+</v>
      </c>
      <c r="I605" t="str">
        <f>IF(C605&lt;18.5,"Underweight",IF(C605&lt;25,"Normal",IF(C605&lt;30,"Overweight","Obese")))</f>
        <v>Obese</v>
      </c>
      <c r="J605">
        <f>IF(E605="yes",1,0)</f>
        <v>0</v>
      </c>
      <c r="K605" t="str">
        <f>IF(G605&gt;15000,"High","Low")</f>
        <v>High</v>
      </c>
    </row>
    <row r="606" spans="1:11" x14ac:dyDescent="0.35">
      <c r="A606">
        <v>19</v>
      </c>
      <c r="B606" t="s">
        <v>2</v>
      </c>
      <c r="C606">
        <v>28.31</v>
      </c>
      <c r="D606">
        <v>0</v>
      </c>
      <c r="E606" t="s">
        <v>1</v>
      </c>
      <c r="F606" t="s">
        <v>0</v>
      </c>
      <c r="G606" s="2">
        <v>17468.983899999999</v>
      </c>
      <c r="H606" s="1" t="str">
        <f>IF(A606&lt;31,"18-30",IF(A606&lt;46,"31-45",IF(A606&lt;61,"46-60","60+")))</f>
        <v>18-30</v>
      </c>
      <c r="I606" t="str">
        <f>IF(C606&lt;18.5,"Underweight",IF(C606&lt;25,"Normal",IF(C606&lt;30,"Overweight","Obese")))</f>
        <v>Overweight</v>
      </c>
      <c r="J606">
        <f>IF(E606="yes",1,0)</f>
        <v>1</v>
      </c>
      <c r="K606" t="str">
        <f>IF(G606&gt;15000,"High","Low")</f>
        <v>High</v>
      </c>
    </row>
    <row r="607" spans="1:11" x14ac:dyDescent="0.35">
      <c r="A607">
        <v>51</v>
      </c>
      <c r="B607" t="s">
        <v>2</v>
      </c>
      <c r="C607">
        <v>34.1</v>
      </c>
      <c r="D607">
        <v>0</v>
      </c>
      <c r="E607" t="s">
        <v>4</v>
      </c>
      <c r="F607" t="s">
        <v>5</v>
      </c>
      <c r="G607" s="2">
        <v>9283.5619999999999</v>
      </c>
      <c r="H607" s="1" t="str">
        <f>IF(A607&lt;31,"18-30",IF(A607&lt;46,"31-45",IF(A607&lt;61,"46-60","60+")))</f>
        <v>46-60</v>
      </c>
      <c r="I607" t="str">
        <f>IF(C607&lt;18.5,"Underweight",IF(C607&lt;25,"Normal",IF(C607&lt;30,"Overweight","Obese")))</f>
        <v>Obese</v>
      </c>
      <c r="J607">
        <f>IF(E607="yes",1,0)</f>
        <v>0</v>
      </c>
      <c r="K607" t="str">
        <f>IF(G607&gt;15000,"High","Low")</f>
        <v>Low</v>
      </c>
    </row>
    <row r="608" spans="1:11" x14ac:dyDescent="0.35">
      <c r="A608">
        <v>27</v>
      </c>
      <c r="B608" t="s">
        <v>2</v>
      </c>
      <c r="C608">
        <v>25.175000000000001</v>
      </c>
      <c r="D608">
        <v>0</v>
      </c>
      <c r="E608" t="s">
        <v>4</v>
      </c>
      <c r="F608" t="s">
        <v>6</v>
      </c>
      <c r="G608" s="2">
        <v>3558.6202499999999</v>
      </c>
      <c r="H608" s="1" t="str">
        <f>IF(A608&lt;31,"18-30",IF(A608&lt;46,"31-45",IF(A608&lt;61,"46-60","60+")))</f>
        <v>18-30</v>
      </c>
      <c r="I608" t="str">
        <f>IF(C608&lt;18.5,"Underweight",IF(C608&lt;25,"Normal",IF(C608&lt;30,"Overweight","Obese")))</f>
        <v>Overweight</v>
      </c>
      <c r="J608">
        <f>IF(E608="yes",1,0)</f>
        <v>0</v>
      </c>
      <c r="K608" t="str">
        <f>IF(G608&gt;15000,"High","Low")</f>
        <v>Low</v>
      </c>
    </row>
    <row r="609" spans="1:11" x14ac:dyDescent="0.35">
      <c r="A609">
        <v>59</v>
      </c>
      <c r="B609" t="s">
        <v>2</v>
      </c>
      <c r="C609">
        <v>23.655000000000001</v>
      </c>
      <c r="D609">
        <v>0</v>
      </c>
      <c r="E609" t="s">
        <v>1</v>
      </c>
      <c r="F609" t="s">
        <v>0</v>
      </c>
      <c r="G609" s="2">
        <v>25678.778450000002</v>
      </c>
      <c r="H609" s="1" t="str">
        <f>IF(A609&lt;31,"18-30",IF(A609&lt;46,"31-45",IF(A609&lt;61,"46-60","60+")))</f>
        <v>46-60</v>
      </c>
      <c r="I609" t="str">
        <f>IF(C609&lt;18.5,"Underweight",IF(C609&lt;25,"Normal",IF(C609&lt;30,"Overweight","Obese")))</f>
        <v>Normal</v>
      </c>
      <c r="J609">
        <f>IF(E609="yes",1,0)</f>
        <v>1</v>
      </c>
      <c r="K609" t="str">
        <f>IF(G609&gt;15000,"High","Low")</f>
        <v>High</v>
      </c>
    </row>
    <row r="610" spans="1:11" x14ac:dyDescent="0.35">
      <c r="A610">
        <v>28</v>
      </c>
      <c r="B610" t="s">
        <v>7</v>
      </c>
      <c r="C610">
        <v>26.98</v>
      </c>
      <c r="D610">
        <v>2</v>
      </c>
      <c r="E610" t="s">
        <v>4</v>
      </c>
      <c r="F610" t="s">
        <v>6</v>
      </c>
      <c r="G610" s="2">
        <v>4435.0941999999995</v>
      </c>
      <c r="H610" s="1" t="str">
        <f>IF(A610&lt;31,"18-30",IF(A610&lt;46,"31-45",IF(A610&lt;61,"46-60","60+")))</f>
        <v>18-30</v>
      </c>
      <c r="I610" t="str">
        <f>IF(C610&lt;18.5,"Underweight",IF(C610&lt;25,"Normal",IF(C610&lt;30,"Overweight","Obese")))</f>
        <v>Overweight</v>
      </c>
      <c r="J610">
        <f>IF(E610="yes",1,0)</f>
        <v>0</v>
      </c>
      <c r="K610" t="str">
        <f>IF(G610&gt;15000,"High","Low")</f>
        <v>Low</v>
      </c>
    </row>
    <row r="611" spans="1:11" x14ac:dyDescent="0.35">
      <c r="A611">
        <v>30</v>
      </c>
      <c r="B611" t="s">
        <v>7</v>
      </c>
      <c r="C611">
        <v>37.799999999999997</v>
      </c>
      <c r="D611">
        <v>2</v>
      </c>
      <c r="E611" t="s">
        <v>1</v>
      </c>
      <c r="F611" t="s">
        <v>3</v>
      </c>
      <c r="G611" s="2">
        <v>39241.442000000003</v>
      </c>
      <c r="H611" s="1" t="str">
        <f>IF(A611&lt;31,"18-30",IF(A611&lt;46,"31-45",IF(A611&lt;61,"46-60","60+")))</f>
        <v>18-30</v>
      </c>
      <c r="I611" t="str">
        <f>IF(C611&lt;18.5,"Underweight",IF(C611&lt;25,"Normal",IF(C611&lt;30,"Overweight","Obese")))</f>
        <v>Obese</v>
      </c>
      <c r="J611">
        <f>IF(E611="yes",1,0)</f>
        <v>1</v>
      </c>
      <c r="K611" t="str">
        <f>IF(G611&gt;15000,"High","Low")</f>
        <v>High</v>
      </c>
    </row>
    <row r="612" spans="1:11" x14ac:dyDescent="0.35">
      <c r="A612">
        <v>47</v>
      </c>
      <c r="B612" t="s">
        <v>2</v>
      </c>
      <c r="C612">
        <v>29.37</v>
      </c>
      <c r="D612">
        <v>1</v>
      </c>
      <c r="E612" t="s">
        <v>4</v>
      </c>
      <c r="F612" t="s">
        <v>5</v>
      </c>
      <c r="G612" s="2">
        <v>8547.6913000000004</v>
      </c>
      <c r="H612" s="1" t="str">
        <f>IF(A612&lt;31,"18-30",IF(A612&lt;46,"31-45",IF(A612&lt;61,"46-60","60+")))</f>
        <v>46-60</v>
      </c>
      <c r="I612" t="str">
        <f>IF(C612&lt;18.5,"Underweight",IF(C612&lt;25,"Normal",IF(C612&lt;30,"Overweight","Obese")))</f>
        <v>Overweight</v>
      </c>
      <c r="J612">
        <f>IF(E612="yes",1,0)</f>
        <v>0</v>
      </c>
      <c r="K612" t="str">
        <f>IF(G612&gt;15000,"High","Low")</f>
        <v>Low</v>
      </c>
    </row>
    <row r="613" spans="1:11" x14ac:dyDescent="0.35">
      <c r="A613">
        <v>38</v>
      </c>
      <c r="B613" t="s">
        <v>2</v>
      </c>
      <c r="C613">
        <v>34.799999999999997</v>
      </c>
      <c r="D613">
        <v>2</v>
      </c>
      <c r="E613" t="s">
        <v>4</v>
      </c>
      <c r="F613" t="s">
        <v>3</v>
      </c>
      <c r="G613" s="2">
        <v>6571.5439999999999</v>
      </c>
      <c r="H613" s="1" t="str">
        <f>IF(A613&lt;31,"18-30",IF(A613&lt;46,"31-45",IF(A613&lt;61,"46-60","60+")))</f>
        <v>31-45</v>
      </c>
      <c r="I613" t="str">
        <f>IF(C613&lt;18.5,"Underweight",IF(C613&lt;25,"Normal",IF(C613&lt;30,"Overweight","Obese")))</f>
        <v>Obese</v>
      </c>
      <c r="J613">
        <f>IF(E613="yes",1,0)</f>
        <v>0</v>
      </c>
      <c r="K613" t="str">
        <f>IF(G613&gt;15000,"High","Low")</f>
        <v>Low</v>
      </c>
    </row>
    <row r="614" spans="1:11" x14ac:dyDescent="0.35">
      <c r="A614">
        <v>18</v>
      </c>
      <c r="B614" t="s">
        <v>2</v>
      </c>
      <c r="C614">
        <v>33.155000000000001</v>
      </c>
      <c r="D614">
        <v>0</v>
      </c>
      <c r="E614" t="s">
        <v>4</v>
      </c>
      <c r="F614" t="s">
        <v>6</v>
      </c>
      <c r="G614" s="2">
        <v>2207.6974500000001</v>
      </c>
      <c r="H614" s="1" t="str">
        <f>IF(A614&lt;31,"18-30",IF(A614&lt;46,"31-45",IF(A614&lt;61,"46-60","60+")))</f>
        <v>18-30</v>
      </c>
      <c r="I614" t="str">
        <f>IF(C614&lt;18.5,"Underweight",IF(C614&lt;25,"Normal",IF(C614&lt;30,"Overweight","Obese")))</f>
        <v>Obese</v>
      </c>
      <c r="J614">
        <f>IF(E614="yes",1,0)</f>
        <v>0</v>
      </c>
      <c r="K614" t="str">
        <f>IF(G614&gt;15000,"High","Low")</f>
        <v>Low</v>
      </c>
    </row>
    <row r="615" spans="1:11" x14ac:dyDescent="0.35">
      <c r="A615">
        <v>34</v>
      </c>
      <c r="B615" t="s">
        <v>2</v>
      </c>
      <c r="C615">
        <v>19</v>
      </c>
      <c r="D615">
        <v>3</v>
      </c>
      <c r="E615" t="s">
        <v>4</v>
      </c>
      <c r="F615" t="s">
        <v>6</v>
      </c>
      <c r="G615" s="2">
        <v>6753.0379999999996</v>
      </c>
      <c r="H615" s="1" t="str">
        <f>IF(A615&lt;31,"18-30",IF(A615&lt;46,"31-45",IF(A615&lt;61,"46-60","60+")))</f>
        <v>31-45</v>
      </c>
      <c r="I615" t="str">
        <f>IF(C615&lt;18.5,"Underweight",IF(C615&lt;25,"Normal",IF(C615&lt;30,"Overweight","Obese")))</f>
        <v>Normal</v>
      </c>
      <c r="J615">
        <f>IF(E615="yes",1,0)</f>
        <v>0</v>
      </c>
      <c r="K615" t="str">
        <f>IF(G615&gt;15000,"High","Low")</f>
        <v>Low</v>
      </c>
    </row>
    <row r="616" spans="1:11" x14ac:dyDescent="0.35">
      <c r="A616">
        <v>20</v>
      </c>
      <c r="B616" t="s">
        <v>2</v>
      </c>
      <c r="C616">
        <v>33</v>
      </c>
      <c r="D616">
        <v>0</v>
      </c>
      <c r="E616" t="s">
        <v>4</v>
      </c>
      <c r="F616" t="s">
        <v>5</v>
      </c>
      <c r="G616" s="2">
        <v>1880.07</v>
      </c>
      <c r="H616" s="1" t="str">
        <f>IF(A616&lt;31,"18-30",IF(A616&lt;46,"31-45",IF(A616&lt;61,"46-60","60+")))</f>
        <v>18-30</v>
      </c>
      <c r="I616" t="str">
        <f>IF(C616&lt;18.5,"Underweight",IF(C616&lt;25,"Normal",IF(C616&lt;30,"Overweight","Obese")))</f>
        <v>Obese</v>
      </c>
      <c r="J616">
        <f>IF(E616="yes",1,0)</f>
        <v>0</v>
      </c>
      <c r="K616" t="str">
        <f>IF(G616&gt;15000,"High","Low")</f>
        <v>Low</v>
      </c>
    </row>
    <row r="617" spans="1:11" x14ac:dyDescent="0.35">
      <c r="A617">
        <v>47</v>
      </c>
      <c r="B617" t="s">
        <v>2</v>
      </c>
      <c r="C617">
        <v>36.630000000000003</v>
      </c>
      <c r="D617">
        <v>1</v>
      </c>
      <c r="E617" t="s">
        <v>1</v>
      </c>
      <c r="F617" t="s">
        <v>5</v>
      </c>
      <c r="G617" s="2">
        <v>42969.852700000003</v>
      </c>
      <c r="H617" s="1" t="str">
        <f>IF(A617&lt;31,"18-30",IF(A617&lt;46,"31-45",IF(A617&lt;61,"46-60","60+")))</f>
        <v>46-60</v>
      </c>
      <c r="I617" t="str">
        <f>IF(C617&lt;18.5,"Underweight",IF(C617&lt;25,"Normal",IF(C617&lt;30,"Overweight","Obese")))</f>
        <v>Obese</v>
      </c>
      <c r="J617">
        <f>IF(E617="yes",1,0)</f>
        <v>1</v>
      </c>
      <c r="K617" t="str">
        <f>IF(G617&gt;15000,"High","Low")</f>
        <v>High</v>
      </c>
    </row>
    <row r="618" spans="1:11" x14ac:dyDescent="0.35">
      <c r="A618">
        <v>56</v>
      </c>
      <c r="B618" t="s">
        <v>2</v>
      </c>
      <c r="C618">
        <v>28.594999999999999</v>
      </c>
      <c r="D618">
        <v>0</v>
      </c>
      <c r="E618" t="s">
        <v>4</v>
      </c>
      <c r="F618" t="s">
        <v>6</v>
      </c>
      <c r="G618" s="2">
        <v>11658.11505</v>
      </c>
      <c r="H618" s="1" t="str">
        <f>IF(A618&lt;31,"18-30",IF(A618&lt;46,"31-45",IF(A618&lt;61,"46-60","60+")))</f>
        <v>46-60</v>
      </c>
      <c r="I618" t="str">
        <f>IF(C618&lt;18.5,"Underweight",IF(C618&lt;25,"Normal",IF(C618&lt;30,"Overweight","Obese")))</f>
        <v>Overweight</v>
      </c>
      <c r="J618">
        <f>IF(E618="yes",1,0)</f>
        <v>0</v>
      </c>
      <c r="K618" t="str">
        <f>IF(G618&gt;15000,"High","Low")</f>
        <v>Low</v>
      </c>
    </row>
    <row r="619" spans="1:11" x14ac:dyDescent="0.35">
      <c r="A619">
        <v>49</v>
      </c>
      <c r="B619" t="s">
        <v>7</v>
      </c>
      <c r="C619">
        <v>25.6</v>
      </c>
      <c r="D619">
        <v>2</v>
      </c>
      <c r="E619" t="s">
        <v>1</v>
      </c>
      <c r="F619" t="s">
        <v>3</v>
      </c>
      <c r="G619" s="2">
        <v>23306.546999999999</v>
      </c>
      <c r="H619" s="1" t="str">
        <f>IF(A619&lt;31,"18-30",IF(A619&lt;46,"31-45",IF(A619&lt;61,"46-60","60+")))</f>
        <v>46-60</v>
      </c>
      <c r="I619" t="str">
        <f>IF(C619&lt;18.5,"Underweight",IF(C619&lt;25,"Normal",IF(C619&lt;30,"Overweight","Obese")))</f>
        <v>Overweight</v>
      </c>
      <c r="J619">
        <f>IF(E619="yes",1,0)</f>
        <v>1</v>
      </c>
      <c r="K619" t="str">
        <f>IF(G619&gt;15000,"High","Low")</f>
        <v>High</v>
      </c>
    </row>
    <row r="620" spans="1:11" x14ac:dyDescent="0.35">
      <c r="A620">
        <v>19</v>
      </c>
      <c r="B620" t="s">
        <v>2</v>
      </c>
      <c r="C620">
        <v>33.11</v>
      </c>
      <c r="D620">
        <v>0</v>
      </c>
      <c r="E620" t="s">
        <v>1</v>
      </c>
      <c r="F620" t="s">
        <v>5</v>
      </c>
      <c r="G620" s="2">
        <v>34439.855900000002</v>
      </c>
      <c r="H620" s="1" t="str">
        <f>IF(A620&lt;31,"18-30",IF(A620&lt;46,"31-45",IF(A620&lt;61,"46-60","60+")))</f>
        <v>18-30</v>
      </c>
      <c r="I620" t="str">
        <f>IF(C620&lt;18.5,"Underweight",IF(C620&lt;25,"Normal",IF(C620&lt;30,"Overweight","Obese")))</f>
        <v>Obese</v>
      </c>
      <c r="J620">
        <f>IF(E620="yes",1,0)</f>
        <v>1</v>
      </c>
      <c r="K620" t="str">
        <f>IF(G620&gt;15000,"High","Low")</f>
        <v>High</v>
      </c>
    </row>
    <row r="621" spans="1:11" x14ac:dyDescent="0.35">
      <c r="A621">
        <v>55</v>
      </c>
      <c r="B621" t="s">
        <v>2</v>
      </c>
      <c r="C621">
        <v>37.1</v>
      </c>
      <c r="D621">
        <v>0</v>
      </c>
      <c r="E621" t="s">
        <v>4</v>
      </c>
      <c r="F621" t="s">
        <v>3</v>
      </c>
      <c r="G621" s="2">
        <v>10713.644</v>
      </c>
      <c r="H621" s="1" t="str">
        <f>IF(A621&lt;31,"18-30",IF(A621&lt;46,"31-45",IF(A621&lt;61,"46-60","60+")))</f>
        <v>46-60</v>
      </c>
      <c r="I621" t="str">
        <f>IF(C621&lt;18.5,"Underweight",IF(C621&lt;25,"Normal",IF(C621&lt;30,"Overweight","Obese")))</f>
        <v>Obese</v>
      </c>
      <c r="J621">
        <f>IF(E621="yes",1,0)</f>
        <v>0</v>
      </c>
      <c r="K621" t="str">
        <f>IF(G621&gt;15000,"High","Low")</f>
        <v>Low</v>
      </c>
    </row>
    <row r="622" spans="1:11" x14ac:dyDescent="0.35">
      <c r="A622">
        <v>30</v>
      </c>
      <c r="B622" t="s">
        <v>7</v>
      </c>
      <c r="C622">
        <v>31.4</v>
      </c>
      <c r="D622">
        <v>1</v>
      </c>
      <c r="E622" t="s">
        <v>4</v>
      </c>
      <c r="F622" t="s">
        <v>3</v>
      </c>
      <c r="G622" s="2">
        <v>3659.346</v>
      </c>
      <c r="H622" s="1" t="str">
        <f>IF(A622&lt;31,"18-30",IF(A622&lt;46,"31-45",IF(A622&lt;61,"46-60","60+")))</f>
        <v>18-30</v>
      </c>
      <c r="I622" t="str">
        <f>IF(C622&lt;18.5,"Underweight",IF(C622&lt;25,"Normal",IF(C622&lt;30,"Overweight","Obese")))</f>
        <v>Obese</v>
      </c>
      <c r="J622">
        <f>IF(E622="yes",1,0)</f>
        <v>0</v>
      </c>
      <c r="K622" t="str">
        <f>IF(G622&gt;15000,"High","Low")</f>
        <v>Low</v>
      </c>
    </row>
    <row r="623" spans="1:11" x14ac:dyDescent="0.35">
      <c r="A623">
        <v>37</v>
      </c>
      <c r="B623" t="s">
        <v>7</v>
      </c>
      <c r="C623">
        <v>34.1</v>
      </c>
      <c r="D623">
        <v>4</v>
      </c>
      <c r="E623" t="s">
        <v>1</v>
      </c>
      <c r="F623" t="s">
        <v>3</v>
      </c>
      <c r="G623" s="2">
        <v>40182.245999999999</v>
      </c>
      <c r="H623" s="1" t="str">
        <f>IF(A623&lt;31,"18-30",IF(A623&lt;46,"31-45",IF(A623&lt;61,"46-60","60+")))</f>
        <v>31-45</v>
      </c>
      <c r="I623" t="str">
        <f>IF(C623&lt;18.5,"Underweight",IF(C623&lt;25,"Normal",IF(C623&lt;30,"Overweight","Obese")))</f>
        <v>Obese</v>
      </c>
      <c r="J623">
        <f>IF(E623="yes",1,0)</f>
        <v>1</v>
      </c>
      <c r="K623" t="str">
        <f>IF(G623&gt;15000,"High","Low")</f>
        <v>High</v>
      </c>
    </row>
    <row r="624" spans="1:11" x14ac:dyDescent="0.35">
      <c r="A624">
        <v>49</v>
      </c>
      <c r="B624" t="s">
        <v>2</v>
      </c>
      <c r="C624">
        <v>21.3</v>
      </c>
      <c r="D624">
        <v>1</v>
      </c>
      <c r="E624" t="s">
        <v>4</v>
      </c>
      <c r="F624" t="s">
        <v>3</v>
      </c>
      <c r="G624" s="2">
        <v>9182.17</v>
      </c>
      <c r="H624" s="1" t="str">
        <f>IF(A624&lt;31,"18-30",IF(A624&lt;46,"31-45",IF(A624&lt;61,"46-60","60+")))</f>
        <v>46-60</v>
      </c>
      <c r="I624" t="str">
        <f>IF(C624&lt;18.5,"Underweight",IF(C624&lt;25,"Normal",IF(C624&lt;30,"Overweight","Obese")))</f>
        <v>Normal</v>
      </c>
      <c r="J624">
        <f>IF(E624="yes",1,0)</f>
        <v>0</v>
      </c>
      <c r="K624" t="str">
        <f>IF(G624&gt;15000,"High","Low")</f>
        <v>Low</v>
      </c>
    </row>
    <row r="625" spans="1:11" x14ac:dyDescent="0.35">
      <c r="A625">
        <v>18</v>
      </c>
      <c r="B625" t="s">
        <v>7</v>
      </c>
      <c r="C625">
        <v>33.534999999999997</v>
      </c>
      <c r="D625">
        <v>0</v>
      </c>
      <c r="E625" t="s">
        <v>1</v>
      </c>
      <c r="F625" t="s">
        <v>6</v>
      </c>
      <c r="G625" s="2">
        <v>34617.840649999998</v>
      </c>
      <c r="H625" s="1" t="str">
        <f>IF(A625&lt;31,"18-30",IF(A625&lt;46,"31-45",IF(A625&lt;61,"46-60","60+")))</f>
        <v>18-30</v>
      </c>
      <c r="I625" t="str">
        <f>IF(C625&lt;18.5,"Underweight",IF(C625&lt;25,"Normal",IF(C625&lt;30,"Overweight","Obese")))</f>
        <v>Obese</v>
      </c>
      <c r="J625">
        <f>IF(E625="yes",1,0)</f>
        <v>1</v>
      </c>
      <c r="K625" t="str">
        <f>IF(G625&gt;15000,"High","Low")</f>
        <v>High</v>
      </c>
    </row>
    <row r="626" spans="1:11" x14ac:dyDescent="0.35">
      <c r="A626">
        <v>59</v>
      </c>
      <c r="B626" t="s">
        <v>7</v>
      </c>
      <c r="C626">
        <v>28.785</v>
      </c>
      <c r="D626">
        <v>0</v>
      </c>
      <c r="E626" t="s">
        <v>4</v>
      </c>
      <c r="F626" t="s">
        <v>0</v>
      </c>
      <c r="G626" s="2">
        <v>12129.614149999999</v>
      </c>
      <c r="H626" s="1" t="str">
        <f>IF(A626&lt;31,"18-30",IF(A626&lt;46,"31-45",IF(A626&lt;61,"46-60","60+")))</f>
        <v>46-60</v>
      </c>
      <c r="I626" t="str">
        <f>IF(C626&lt;18.5,"Underweight",IF(C626&lt;25,"Normal",IF(C626&lt;30,"Overweight","Obese")))</f>
        <v>Overweight</v>
      </c>
      <c r="J626">
        <f>IF(E626="yes",1,0)</f>
        <v>0</v>
      </c>
      <c r="K626" t="str">
        <f>IF(G626&gt;15000,"High","Low")</f>
        <v>Low</v>
      </c>
    </row>
    <row r="627" spans="1:11" x14ac:dyDescent="0.35">
      <c r="A627">
        <v>29</v>
      </c>
      <c r="B627" t="s">
        <v>2</v>
      </c>
      <c r="C627">
        <v>26.03</v>
      </c>
      <c r="D627">
        <v>0</v>
      </c>
      <c r="E627" t="s">
        <v>4</v>
      </c>
      <c r="F627" t="s">
        <v>0</v>
      </c>
      <c r="G627" s="2">
        <v>3736.4647</v>
      </c>
      <c r="H627" s="1" t="str">
        <f>IF(A627&lt;31,"18-30",IF(A627&lt;46,"31-45",IF(A627&lt;61,"46-60","60+")))</f>
        <v>18-30</v>
      </c>
      <c r="I627" t="str">
        <f>IF(C627&lt;18.5,"Underweight",IF(C627&lt;25,"Normal",IF(C627&lt;30,"Overweight","Obese")))</f>
        <v>Overweight</v>
      </c>
      <c r="J627">
        <f>IF(E627="yes",1,0)</f>
        <v>0</v>
      </c>
      <c r="K627" t="str">
        <f>IF(G627&gt;15000,"High","Low")</f>
        <v>Low</v>
      </c>
    </row>
    <row r="628" spans="1:11" x14ac:dyDescent="0.35">
      <c r="A628">
        <v>36</v>
      </c>
      <c r="B628" t="s">
        <v>7</v>
      </c>
      <c r="C628">
        <v>28.88</v>
      </c>
      <c r="D628">
        <v>3</v>
      </c>
      <c r="E628" t="s">
        <v>4</v>
      </c>
      <c r="F628" t="s">
        <v>6</v>
      </c>
      <c r="G628" s="2">
        <v>6748.5911999999998</v>
      </c>
      <c r="H628" s="1" t="str">
        <f>IF(A628&lt;31,"18-30",IF(A628&lt;46,"31-45",IF(A628&lt;61,"46-60","60+")))</f>
        <v>31-45</v>
      </c>
      <c r="I628" t="str">
        <f>IF(C628&lt;18.5,"Underweight",IF(C628&lt;25,"Normal",IF(C628&lt;30,"Overweight","Obese")))</f>
        <v>Overweight</v>
      </c>
      <c r="J628">
        <f>IF(E628="yes",1,0)</f>
        <v>0</v>
      </c>
      <c r="K628" t="str">
        <f>IF(G628&gt;15000,"High","Low")</f>
        <v>Low</v>
      </c>
    </row>
    <row r="629" spans="1:11" x14ac:dyDescent="0.35">
      <c r="A629">
        <v>33</v>
      </c>
      <c r="B629" t="s">
        <v>7</v>
      </c>
      <c r="C629">
        <v>42.46</v>
      </c>
      <c r="D629">
        <v>1</v>
      </c>
      <c r="E629" t="s">
        <v>4</v>
      </c>
      <c r="F629" t="s">
        <v>5</v>
      </c>
      <c r="G629" s="2">
        <v>11326.71487</v>
      </c>
      <c r="H629" s="1" t="str">
        <f>IF(A629&lt;31,"18-30",IF(A629&lt;46,"31-45",IF(A629&lt;61,"46-60","60+")))</f>
        <v>31-45</v>
      </c>
      <c r="I629" t="str">
        <f>IF(C629&lt;18.5,"Underweight",IF(C629&lt;25,"Normal",IF(C629&lt;30,"Overweight","Obese")))</f>
        <v>Obese</v>
      </c>
      <c r="J629">
        <f>IF(E629="yes",1,0)</f>
        <v>0</v>
      </c>
      <c r="K629" t="str">
        <f>IF(G629&gt;15000,"High","Low")</f>
        <v>Low</v>
      </c>
    </row>
    <row r="630" spans="1:11" x14ac:dyDescent="0.35">
      <c r="A630">
        <v>58</v>
      </c>
      <c r="B630" t="s">
        <v>7</v>
      </c>
      <c r="C630">
        <v>38</v>
      </c>
      <c r="D630">
        <v>0</v>
      </c>
      <c r="E630" t="s">
        <v>4</v>
      </c>
      <c r="F630" t="s">
        <v>3</v>
      </c>
      <c r="G630" s="2">
        <v>11365.951999999999</v>
      </c>
      <c r="H630" s="1" t="str">
        <f>IF(A630&lt;31,"18-30",IF(A630&lt;46,"31-45",IF(A630&lt;61,"46-60","60+")))</f>
        <v>46-60</v>
      </c>
      <c r="I630" t="str">
        <f>IF(C630&lt;18.5,"Underweight",IF(C630&lt;25,"Normal",IF(C630&lt;30,"Overweight","Obese")))</f>
        <v>Obese</v>
      </c>
      <c r="J630">
        <f>IF(E630="yes",1,0)</f>
        <v>0</v>
      </c>
      <c r="K630" t="str">
        <f>IF(G630&gt;15000,"High","Low")</f>
        <v>Low</v>
      </c>
    </row>
    <row r="631" spans="1:11" x14ac:dyDescent="0.35">
      <c r="A631">
        <v>44</v>
      </c>
      <c r="B631" t="s">
        <v>2</v>
      </c>
      <c r="C631">
        <v>38.950000000000003</v>
      </c>
      <c r="D631">
        <v>0</v>
      </c>
      <c r="E631" t="s">
        <v>1</v>
      </c>
      <c r="F631" t="s">
        <v>0</v>
      </c>
      <c r="G631" s="2">
        <v>42983.458500000001</v>
      </c>
      <c r="H631" s="1" t="str">
        <f>IF(A631&lt;31,"18-30",IF(A631&lt;46,"31-45",IF(A631&lt;61,"46-60","60+")))</f>
        <v>31-45</v>
      </c>
      <c r="I631" t="str">
        <f>IF(C631&lt;18.5,"Underweight",IF(C631&lt;25,"Normal",IF(C631&lt;30,"Overweight","Obese")))</f>
        <v>Obese</v>
      </c>
      <c r="J631">
        <f>IF(E631="yes",1,0)</f>
        <v>1</v>
      </c>
      <c r="K631" t="str">
        <f>IF(G631&gt;15000,"High","Low")</f>
        <v>High</v>
      </c>
    </row>
    <row r="632" spans="1:11" x14ac:dyDescent="0.35">
      <c r="A632">
        <v>53</v>
      </c>
      <c r="B632" t="s">
        <v>7</v>
      </c>
      <c r="C632">
        <v>36.1</v>
      </c>
      <c r="D632">
        <v>1</v>
      </c>
      <c r="E632" t="s">
        <v>4</v>
      </c>
      <c r="F632" t="s">
        <v>3</v>
      </c>
      <c r="G632" s="2">
        <v>10085.846</v>
      </c>
      <c r="H632" s="1" t="str">
        <f>IF(A632&lt;31,"18-30",IF(A632&lt;46,"31-45",IF(A632&lt;61,"46-60","60+")))</f>
        <v>46-60</v>
      </c>
      <c r="I632" t="str">
        <f>IF(C632&lt;18.5,"Underweight",IF(C632&lt;25,"Normal",IF(C632&lt;30,"Overweight","Obese")))</f>
        <v>Obese</v>
      </c>
      <c r="J632">
        <f>IF(E632="yes",1,0)</f>
        <v>0</v>
      </c>
      <c r="K632" t="str">
        <f>IF(G632&gt;15000,"High","Low")</f>
        <v>Low</v>
      </c>
    </row>
    <row r="633" spans="1:11" x14ac:dyDescent="0.35">
      <c r="A633">
        <v>24</v>
      </c>
      <c r="B633" t="s">
        <v>7</v>
      </c>
      <c r="C633">
        <v>29.3</v>
      </c>
      <c r="D633">
        <v>0</v>
      </c>
      <c r="E633" t="s">
        <v>4</v>
      </c>
      <c r="F633" t="s">
        <v>3</v>
      </c>
      <c r="G633" s="2">
        <v>1977.8150000000001</v>
      </c>
      <c r="H633" s="1" t="str">
        <f>IF(A633&lt;31,"18-30",IF(A633&lt;46,"31-45",IF(A633&lt;61,"46-60","60+")))</f>
        <v>18-30</v>
      </c>
      <c r="I633" t="str">
        <f>IF(C633&lt;18.5,"Underweight",IF(C633&lt;25,"Normal",IF(C633&lt;30,"Overweight","Obese")))</f>
        <v>Overweight</v>
      </c>
      <c r="J633">
        <f>IF(E633="yes",1,0)</f>
        <v>0</v>
      </c>
      <c r="K633" t="str">
        <f>IF(G633&gt;15000,"High","Low")</f>
        <v>Low</v>
      </c>
    </row>
    <row r="634" spans="1:11" x14ac:dyDescent="0.35">
      <c r="A634">
        <v>29</v>
      </c>
      <c r="B634" t="s">
        <v>2</v>
      </c>
      <c r="C634">
        <v>35.53</v>
      </c>
      <c r="D634">
        <v>0</v>
      </c>
      <c r="E634" t="s">
        <v>4</v>
      </c>
      <c r="F634" t="s">
        <v>5</v>
      </c>
      <c r="G634" s="2">
        <v>3366.6696999999999</v>
      </c>
      <c r="H634" s="1" t="str">
        <f>IF(A634&lt;31,"18-30",IF(A634&lt;46,"31-45",IF(A634&lt;61,"46-60","60+")))</f>
        <v>18-30</v>
      </c>
      <c r="I634" t="str">
        <f>IF(C634&lt;18.5,"Underweight",IF(C634&lt;25,"Normal",IF(C634&lt;30,"Overweight","Obese")))</f>
        <v>Obese</v>
      </c>
      <c r="J634">
        <f>IF(E634="yes",1,0)</f>
        <v>0</v>
      </c>
      <c r="K634" t="str">
        <f>IF(G634&gt;15000,"High","Low")</f>
        <v>Low</v>
      </c>
    </row>
    <row r="635" spans="1:11" x14ac:dyDescent="0.35">
      <c r="A635">
        <v>40</v>
      </c>
      <c r="B635" t="s">
        <v>7</v>
      </c>
      <c r="C635">
        <v>22.704999999999998</v>
      </c>
      <c r="D635">
        <v>2</v>
      </c>
      <c r="E635" t="s">
        <v>4</v>
      </c>
      <c r="F635" t="s">
        <v>6</v>
      </c>
      <c r="G635" s="2">
        <v>7173.35995</v>
      </c>
      <c r="H635" s="1" t="str">
        <f>IF(A635&lt;31,"18-30",IF(A635&lt;46,"31-45",IF(A635&lt;61,"46-60","60+")))</f>
        <v>31-45</v>
      </c>
      <c r="I635" t="str">
        <f>IF(C635&lt;18.5,"Underweight",IF(C635&lt;25,"Normal",IF(C635&lt;30,"Overweight","Obese")))</f>
        <v>Normal</v>
      </c>
      <c r="J635">
        <f>IF(E635="yes",1,0)</f>
        <v>0</v>
      </c>
      <c r="K635" t="str">
        <f>IF(G635&gt;15000,"High","Low")</f>
        <v>Low</v>
      </c>
    </row>
    <row r="636" spans="1:11" x14ac:dyDescent="0.35">
      <c r="A636">
        <v>51</v>
      </c>
      <c r="B636" t="s">
        <v>7</v>
      </c>
      <c r="C636">
        <v>39.700000000000003</v>
      </c>
      <c r="D636">
        <v>1</v>
      </c>
      <c r="E636" t="s">
        <v>4</v>
      </c>
      <c r="F636" t="s">
        <v>3</v>
      </c>
      <c r="G636" s="2">
        <v>9391.3459999999995</v>
      </c>
      <c r="H636" s="1" t="str">
        <f>IF(A636&lt;31,"18-30",IF(A636&lt;46,"31-45",IF(A636&lt;61,"46-60","60+")))</f>
        <v>46-60</v>
      </c>
      <c r="I636" t="str">
        <f>IF(C636&lt;18.5,"Underweight",IF(C636&lt;25,"Normal",IF(C636&lt;30,"Overweight","Obese")))</f>
        <v>Obese</v>
      </c>
      <c r="J636">
        <f>IF(E636="yes",1,0)</f>
        <v>0</v>
      </c>
      <c r="K636" t="str">
        <f>IF(G636&gt;15000,"High","Low")</f>
        <v>Low</v>
      </c>
    </row>
    <row r="637" spans="1:11" x14ac:dyDescent="0.35">
      <c r="A637">
        <v>64</v>
      </c>
      <c r="B637" t="s">
        <v>7</v>
      </c>
      <c r="C637">
        <v>38.19</v>
      </c>
      <c r="D637">
        <v>0</v>
      </c>
      <c r="E637" t="s">
        <v>4</v>
      </c>
      <c r="F637" t="s">
        <v>6</v>
      </c>
      <c r="G637" s="2">
        <v>14410.9321</v>
      </c>
      <c r="H637" s="1" t="str">
        <f>IF(A637&lt;31,"18-30",IF(A637&lt;46,"31-45",IF(A637&lt;61,"46-60","60+")))</f>
        <v>60+</v>
      </c>
      <c r="I637" t="str">
        <f>IF(C637&lt;18.5,"Underweight",IF(C637&lt;25,"Normal",IF(C637&lt;30,"Overweight","Obese")))</f>
        <v>Obese</v>
      </c>
      <c r="J637">
        <f>IF(E637="yes",1,0)</f>
        <v>0</v>
      </c>
      <c r="K637" t="str">
        <f>IF(G637&gt;15000,"High","Low")</f>
        <v>Low</v>
      </c>
    </row>
    <row r="638" spans="1:11" x14ac:dyDescent="0.35">
      <c r="A638">
        <v>19</v>
      </c>
      <c r="B638" t="s">
        <v>2</v>
      </c>
      <c r="C638">
        <v>24.51</v>
      </c>
      <c r="D638">
        <v>1</v>
      </c>
      <c r="E638" t="s">
        <v>4</v>
      </c>
      <c r="F638" t="s">
        <v>0</v>
      </c>
      <c r="G638" s="2">
        <v>2709.1118999999999</v>
      </c>
      <c r="H638" s="1" t="str">
        <f>IF(A638&lt;31,"18-30",IF(A638&lt;46,"31-45",IF(A638&lt;61,"46-60","60+")))</f>
        <v>18-30</v>
      </c>
      <c r="I638" t="str">
        <f>IF(C638&lt;18.5,"Underweight",IF(C638&lt;25,"Normal",IF(C638&lt;30,"Overweight","Obese")))</f>
        <v>Normal</v>
      </c>
      <c r="J638">
        <f>IF(E638="yes",1,0)</f>
        <v>0</v>
      </c>
      <c r="K638" t="str">
        <f>IF(G638&gt;15000,"High","Low")</f>
        <v>Low</v>
      </c>
    </row>
    <row r="639" spans="1:11" x14ac:dyDescent="0.35">
      <c r="A639">
        <v>35</v>
      </c>
      <c r="B639" t="s">
        <v>2</v>
      </c>
      <c r="C639">
        <v>38.094999999999999</v>
      </c>
      <c r="D639">
        <v>2</v>
      </c>
      <c r="E639" t="s">
        <v>4</v>
      </c>
      <c r="F639" t="s">
        <v>6</v>
      </c>
      <c r="G639" s="2">
        <v>24915.046259999999</v>
      </c>
      <c r="H639" s="1" t="str">
        <f>IF(A639&lt;31,"18-30",IF(A639&lt;46,"31-45",IF(A639&lt;61,"46-60","60+")))</f>
        <v>31-45</v>
      </c>
      <c r="I639" t="str">
        <f>IF(C639&lt;18.5,"Underweight",IF(C639&lt;25,"Normal",IF(C639&lt;30,"Overweight","Obese")))</f>
        <v>Obese</v>
      </c>
      <c r="J639">
        <f>IF(E639="yes",1,0)</f>
        <v>0</v>
      </c>
      <c r="K639" t="str">
        <f>IF(G639&gt;15000,"High","Low")</f>
        <v>High</v>
      </c>
    </row>
    <row r="640" spans="1:11" x14ac:dyDescent="0.35">
      <c r="A640">
        <v>39</v>
      </c>
      <c r="B640" t="s">
        <v>7</v>
      </c>
      <c r="C640">
        <v>26.41</v>
      </c>
      <c r="D640">
        <v>0</v>
      </c>
      <c r="E640" t="s">
        <v>1</v>
      </c>
      <c r="F640" t="s">
        <v>6</v>
      </c>
      <c r="G640" s="2">
        <v>20149.322899999999</v>
      </c>
      <c r="H640" s="1" t="str">
        <f>IF(A640&lt;31,"18-30",IF(A640&lt;46,"31-45",IF(A640&lt;61,"46-60","60+")))</f>
        <v>31-45</v>
      </c>
      <c r="I640" t="str">
        <f>IF(C640&lt;18.5,"Underweight",IF(C640&lt;25,"Normal",IF(C640&lt;30,"Overweight","Obese")))</f>
        <v>Overweight</v>
      </c>
      <c r="J640">
        <f>IF(E640="yes",1,0)</f>
        <v>1</v>
      </c>
      <c r="K640" t="str">
        <f>IF(G640&gt;15000,"High","Low")</f>
        <v>High</v>
      </c>
    </row>
    <row r="641" spans="1:11" x14ac:dyDescent="0.35">
      <c r="A641">
        <v>56</v>
      </c>
      <c r="B641" t="s">
        <v>7</v>
      </c>
      <c r="C641">
        <v>33.659999999999997</v>
      </c>
      <c r="D641">
        <v>4</v>
      </c>
      <c r="E641" t="s">
        <v>4</v>
      </c>
      <c r="F641" t="s">
        <v>5</v>
      </c>
      <c r="G641" s="2">
        <v>12949.1554</v>
      </c>
      <c r="H641" s="1" t="str">
        <f>IF(A641&lt;31,"18-30",IF(A641&lt;46,"31-45",IF(A641&lt;61,"46-60","60+")))</f>
        <v>46-60</v>
      </c>
      <c r="I641" t="str">
        <f>IF(C641&lt;18.5,"Underweight",IF(C641&lt;25,"Normal",IF(C641&lt;30,"Overweight","Obese")))</f>
        <v>Obese</v>
      </c>
      <c r="J641">
        <f>IF(E641="yes",1,0)</f>
        <v>0</v>
      </c>
      <c r="K641" t="str">
        <f>IF(G641&gt;15000,"High","Low")</f>
        <v>Low</v>
      </c>
    </row>
    <row r="642" spans="1:11" x14ac:dyDescent="0.35">
      <c r="A642">
        <v>33</v>
      </c>
      <c r="B642" t="s">
        <v>7</v>
      </c>
      <c r="C642">
        <v>42.4</v>
      </c>
      <c r="D642">
        <v>5</v>
      </c>
      <c r="E642" t="s">
        <v>4</v>
      </c>
      <c r="F642" t="s">
        <v>3</v>
      </c>
      <c r="G642" s="2">
        <v>6666.2430000000004</v>
      </c>
      <c r="H642" s="1" t="str">
        <f>IF(A642&lt;31,"18-30",IF(A642&lt;46,"31-45",IF(A642&lt;61,"46-60","60+")))</f>
        <v>31-45</v>
      </c>
      <c r="I642" t="str">
        <f>IF(C642&lt;18.5,"Underweight",IF(C642&lt;25,"Normal",IF(C642&lt;30,"Overweight","Obese")))</f>
        <v>Obese</v>
      </c>
      <c r="J642">
        <f>IF(E642="yes",1,0)</f>
        <v>0</v>
      </c>
      <c r="K642" t="str">
        <f>IF(G642&gt;15000,"High","Low")</f>
        <v>Low</v>
      </c>
    </row>
    <row r="643" spans="1:11" x14ac:dyDescent="0.35">
      <c r="A643">
        <v>42</v>
      </c>
      <c r="B643" t="s">
        <v>7</v>
      </c>
      <c r="C643">
        <v>28.31</v>
      </c>
      <c r="D643">
        <v>3</v>
      </c>
      <c r="E643" t="s">
        <v>1</v>
      </c>
      <c r="F643" t="s">
        <v>0</v>
      </c>
      <c r="G643" s="2">
        <v>32787.458590000002</v>
      </c>
      <c r="H643" s="1" t="str">
        <f>IF(A643&lt;31,"18-30",IF(A643&lt;46,"31-45",IF(A643&lt;61,"46-60","60+")))</f>
        <v>31-45</v>
      </c>
      <c r="I643" t="str">
        <f>IF(C643&lt;18.5,"Underweight",IF(C643&lt;25,"Normal",IF(C643&lt;30,"Overweight","Obese")))</f>
        <v>Overweight</v>
      </c>
      <c r="J643">
        <f>IF(E643="yes",1,0)</f>
        <v>1</v>
      </c>
      <c r="K643" t="str">
        <f>IF(G643&gt;15000,"High","Low")</f>
        <v>High</v>
      </c>
    </row>
    <row r="644" spans="1:11" x14ac:dyDescent="0.35">
      <c r="A644">
        <v>61</v>
      </c>
      <c r="B644" t="s">
        <v>7</v>
      </c>
      <c r="C644">
        <v>33.914999999999999</v>
      </c>
      <c r="D644">
        <v>0</v>
      </c>
      <c r="E644" t="s">
        <v>4</v>
      </c>
      <c r="F644" t="s">
        <v>6</v>
      </c>
      <c r="G644" s="2">
        <v>13143.86485</v>
      </c>
      <c r="H644" s="1" t="str">
        <f>IF(A644&lt;31,"18-30",IF(A644&lt;46,"31-45",IF(A644&lt;61,"46-60","60+")))</f>
        <v>60+</v>
      </c>
      <c r="I644" t="str">
        <f>IF(C644&lt;18.5,"Underweight",IF(C644&lt;25,"Normal",IF(C644&lt;30,"Overweight","Obese")))</f>
        <v>Obese</v>
      </c>
      <c r="J644">
        <f>IF(E644="yes",1,0)</f>
        <v>0</v>
      </c>
      <c r="K644" t="str">
        <f>IF(G644&gt;15000,"High","Low")</f>
        <v>Low</v>
      </c>
    </row>
    <row r="645" spans="1:11" x14ac:dyDescent="0.35">
      <c r="A645">
        <v>23</v>
      </c>
      <c r="B645" t="s">
        <v>2</v>
      </c>
      <c r="C645">
        <v>34.96</v>
      </c>
      <c r="D645">
        <v>3</v>
      </c>
      <c r="E645" t="s">
        <v>4</v>
      </c>
      <c r="F645" t="s">
        <v>0</v>
      </c>
      <c r="G645" s="2">
        <v>4466.6214</v>
      </c>
      <c r="H645" s="1" t="str">
        <f>IF(A645&lt;31,"18-30",IF(A645&lt;46,"31-45",IF(A645&lt;61,"46-60","60+")))</f>
        <v>18-30</v>
      </c>
      <c r="I645" t="str">
        <f>IF(C645&lt;18.5,"Underweight",IF(C645&lt;25,"Normal",IF(C645&lt;30,"Overweight","Obese")))</f>
        <v>Obese</v>
      </c>
      <c r="J645">
        <f>IF(E645="yes",1,0)</f>
        <v>0</v>
      </c>
      <c r="K645" t="str">
        <f>IF(G645&gt;15000,"High","Low")</f>
        <v>Low</v>
      </c>
    </row>
    <row r="646" spans="1:11" x14ac:dyDescent="0.35">
      <c r="A646">
        <v>43</v>
      </c>
      <c r="B646" t="s">
        <v>7</v>
      </c>
      <c r="C646">
        <v>35.31</v>
      </c>
      <c r="D646">
        <v>2</v>
      </c>
      <c r="E646" t="s">
        <v>4</v>
      </c>
      <c r="F646" t="s">
        <v>5</v>
      </c>
      <c r="G646" s="2">
        <v>18806.145469999999</v>
      </c>
      <c r="H646" s="1" t="str">
        <f>IF(A646&lt;31,"18-30",IF(A646&lt;46,"31-45",IF(A646&lt;61,"46-60","60+")))</f>
        <v>31-45</v>
      </c>
      <c r="I646" t="str">
        <f>IF(C646&lt;18.5,"Underweight",IF(C646&lt;25,"Normal",IF(C646&lt;30,"Overweight","Obese")))</f>
        <v>Obese</v>
      </c>
      <c r="J646">
        <f>IF(E646="yes",1,0)</f>
        <v>0</v>
      </c>
      <c r="K646" t="str">
        <f>IF(G646&gt;15000,"High","Low")</f>
        <v>High</v>
      </c>
    </row>
    <row r="647" spans="1:11" x14ac:dyDescent="0.35">
      <c r="A647">
        <v>48</v>
      </c>
      <c r="B647" t="s">
        <v>7</v>
      </c>
      <c r="C647">
        <v>30.78</v>
      </c>
      <c r="D647">
        <v>3</v>
      </c>
      <c r="E647" t="s">
        <v>4</v>
      </c>
      <c r="F647" t="s">
        <v>6</v>
      </c>
      <c r="G647" s="2">
        <v>10141.136200000001</v>
      </c>
      <c r="H647" s="1" t="str">
        <f>IF(A647&lt;31,"18-30",IF(A647&lt;46,"31-45",IF(A647&lt;61,"46-60","60+")))</f>
        <v>46-60</v>
      </c>
      <c r="I647" t="str">
        <f>IF(C647&lt;18.5,"Underweight",IF(C647&lt;25,"Normal",IF(C647&lt;30,"Overweight","Obese")))</f>
        <v>Obese</v>
      </c>
      <c r="J647">
        <f>IF(E647="yes",1,0)</f>
        <v>0</v>
      </c>
      <c r="K647" t="str">
        <f>IF(G647&gt;15000,"High","Low")</f>
        <v>Low</v>
      </c>
    </row>
    <row r="648" spans="1:11" x14ac:dyDescent="0.35">
      <c r="A648">
        <v>39</v>
      </c>
      <c r="B648" t="s">
        <v>7</v>
      </c>
      <c r="C648">
        <v>26.22</v>
      </c>
      <c r="D648">
        <v>1</v>
      </c>
      <c r="E648" t="s">
        <v>4</v>
      </c>
      <c r="F648" t="s">
        <v>0</v>
      </c>
      <c r="G648" s="2">
        <v>6123.5688</v>
      </c>
      <c r="H648" s="1" t="str">
        <f>IF(A648&lt;31,"18-30",IF(A648&lt;46,"31-45",IF(A648&lt;61,"46-60","60+")))</f>
        <v>31-45</v>
      </c>
      <c r="I648" t="str">
        <f>IF(C648&lt;18.5,"Underweight",IF(C648&lt;25,"Normal",IF(C648&lt;30,"Overweight","Obese")))</f>
        <v>Overweight</v>
      </c>
      <c r="J648">
        <f>IF(E648="yes",1,0)</f>
        <v>0</v>
      </c>
      <c r="K648" t="str">
        <f>IF(G648&gt;15000,"High","Low")</f>
        <v>Low</v>
      </c>
    </row>
    <row r="649" spans="1:11" x14ac:dyDescent="0.35">
      <c r="A649">
        <v>40</v>
      </c>
      <c r="B649" t="s">
        <v>2</v>
      </c>
      <c r="C649">
        <v>23.37</v>
      </c>
      <c r="D649">
        <v>3</v>
      </c>
      <c r="E649" t="s">
        <v>4</v>
      </c>
      <c r="F649" t="s">
        <v>6</v>
      </c>
      <c r="G649" s="2">
        <v>8252.2842999999993</v>
      </c>
      <c r="H649" s="1" t="str">
        <f>IF(A649&lt;31,"18-30",IF(A649&lt;46,"31-45",IF(A649&lt;61,"46-60","60+")))</f>
        <v>31-45</v>
      </c>
      <c r="I649" t="str">
        <f>IF(C649&lt;18.5,"Underweight",IF(C649&lt;25,"Normal",IF(C649&lt;30,"Overweight","Obese")))</f>
        <v>Normal</v>
      </c>
      <c r="J649">
        <f>IF(E649="yes",1,0)</f>
        <v>0</v>
      </c>
      <c r="K649" t="str">
        <f>IF(G649&gt;15000,"High","Low")</f>
        <v>Low</v>
      </c>
    </row>
    <row r="650" spans="1:11" x14ac:dyDescent="0.35">
      <c r="A650">
        <v>18</v>
      </c>
      <c r="B650" t="s">
        <v>7</v>
      </c>
      <c r="C650">
        <v>28.5</v>
      </c>
      <c r="D650">
        <v>0</v>
      </c>
      <c r="E650" t="s">
        <v>4</v>
      </c>
      <c r="F650" t="s">
        <v>6</v>
      </c>
      <c r="G650" s="2">
        <v>1712.2270000000001</v>
      </c>
      <c r="H650" s="1" t="str">
        <f>IF(A650&lt;31,"18-30",IF(A650&lt;46,"31-45",IF(A650&lt;61,"46-60","60+")))</f>
        <v>18-30</v>
      </c>
      <c r="I650" t="str">
        <f>IF(C650&lt;18.5,"Underweight",IF(C650&lt;25,"Normal",IF(C650&lt;30,"Overweight","Obese")))</f>
        <v>Overweight</v>
      </c>
      <c r="J650">
        <f>IF(E650="yes",1,0)</f>
        <v>0</v>
      </c>
      <c r="K650" t="str">
        <f>IF(G650&gt;15000,"High","Low")</f>
        <v>Low</v>
      </c>
    </row>
    <row r="651" spans="1:11" x14ac:dyDescent="0.35">
      <c r="A651">
        <v>58</v>
      </c>
      <c r="B651" t="s">
        <v>2</v>
      </c>
      <c r="C651">
        <v>32.965000000000003</v>
      </c>
      <c r="D651">
        <v>0</v>
      </c>
      <c r="E651" t="s">
        <v>4</v>
      </c>
      <c r="F651" t="s">
        <v>6</v>
      </c>
      <c r="G651" s="2">
        <v>12430.95335</v>
      </c>
      <c r="H651" s="1" t="str">
        <f>IF(A651&lt;31,"18-30",IF(A651&lt;46,"31-45",IF(A651&lt;61,"46-60","60+")))</f>
        <v>46-60</v>
      </c>
      <c r="I651" t="str">
        <f>IF(C651&lt;18.5,"Underweight",IF(C651&lt;25,"Normal",IF(C651&lt;30,"Overweight","Obese")))</f>
        <v>Obese</v>
      </c>
      <c r="J651">
        <f>IF(E651="yes",1,0)</f>
        <v>0</v>
      </c>
      <c r="K651" t="str">
        <f>IF(G651&gt;15000,"High","Low")</f>
        <v>Low</v>
      </c>
    </row>
    <row r="652" spans="1:11" x14ac:dyDescent="0.35">
      <c r="A652">
        <v>49</v>
      </c>
      <c r="B652" t="s">
        <v>2</v>
      </c>
      <c r="C652">
        <v>42.68</v>
      </c>
      <c r="D652">
        <v>2</v>
      </c>
      <c r="E652" t="s">
        <v>4</v>
      </c>
      <c r="F652" t="s">
        <v>5</v>
      </c>
      <c r="G652" s="2">
        <v>9800.8881999999994</v>
      </c>
      <c r="H652" s="1" t="str">
        <f>IF(A652&lt;31,"18-30",IF(A652&lt;46,"31-45",IF(A652&lt;61,"46-60","60+")))</f>
        <v>46-60</v>
      </c>
      <c r="I652" t="str">
        <f>IF(C652&lt;18.5,"Underweight",IF(C652&lt;25,"Normal",IF(C652&lt;30,"Overweight","Obese")))</f>
        <v>Obese</v>
      </c>
      <c r="J652">
        <f>IF(E652="yes",1,0)</f>
        <v>0</v>
      </c>
      <c r="K652" t="str">
        <f>IF(G652&gt;15000,"High","Low")</f>
        <v>Low</v>
      </c>
    </row>
    <row r="653" spans="1:11" x14ac:dyDescent="0.35">
      <c r="A653">
        <v>53</v>
      </c>
      <c r="B653" t="s">
        <v>2</v>
      </c>
      <c r="C653">
        <v>39.6</v>
      </c>
      <c r="D653">
        <v>1</v>
      </c>
      <c r="E653" t="s">
        <v>4</v>
      </c>
      <c r="F653" t="s">
        <v>5</v>
      </c>
      <c r="G653" s="2">
        <v>10579.710999999999</v>
      </c>
      <c r="H653" s="1" t="str">
        <f>IF(A653&lt;31,"18-30",IF(A653&lt;46,"31-45",IF(A653&lt;61,"46-60","60+")))</f>
        <v>46-60</v>
      </c>
      <c r="I653" t="str">
        <f>IF(C653&lt;18.5,"Underweight",IF(C653&lt;25,"Normal",IF(C653&lt;30,"Overweight","Obese")))</f>
        <v>Obese</v>
      </c>
      <c r="J653">
        <f>IF(E653="yes",1,0)</f>
        <v>0</v>
      </c>
      <c r="K653" t="str">
        <f>IF(G653&gt;15000,"High","Low")</f>
        <v>Low</v>
      </c>
    </row>
    <row r="654" spans="1:11" x14ac:dyDescent="0.35">
      <c r="A654">
        <v>48</v>
      </c>
      <c r="B654" t="s">
        <v>2</v>
      </c>
      <c r="C654">
        <v>31.13</v>
      </c>
      <c r="D654">
        <v>0</v>
      </c>
      <c r="E654" t="s">
        <v>4</v>
      </c>
      <c r="F654" t="s">
        <v>5</v>
      </c>
      <c r="G654" s="2">
        <v>8280.6226999999999</v>
      </c>
      <c r="H654" s="1" t="str">
        <f>IF(A654&lt;31,"18-30",IF(A654&lt;46,"31-45",IF(A654&lt;61,"46-60","60+")))</f>
        <v>46-60</v>
      </c>
      <c r="I654" t="str">
        <f>IF(C654&lt;18.5,"Underweight",IF(C654&lt;25,"Normal",IF(C654&lt;30,"Overweight","Obese")))</f>
        <v>Obese</v>
      </c>
      <c r="J654">
        <f>IF(E654="yes",1,0)</f>
        <v>0</v>
      </c>
      <c r="K654" t="str">
        <f>IF(G654&gt;15000,"High","Low")</f>
        <v>Low</v>
      </c>
    </row>
    <row r="655" spans="1:11" x14ac:dyDescent="0.35">
      <c r="A655">
        <v>45</v>
      </c>
      <c r="B655" t="s">
        <v>2</v>
      </c>
      <c r="C655">
        <v>36.299999999999997</v>
      </c>
      <c r="D655">
        <v>2</v>
      </c>
      <c r="E655" t="s">
        <v>4</v>
      </c>
      <c r="F655" t="s">
        <v>5</v>
      </c>
      <c r="G655" s="2">
        <v>8527.5319999999992</v>
      </c>
      <c r="H655" s="1" t="str">
        <f>IF(A655&lt;31,"18-30",IF(A655&lt;46,"31-45",IF(A655&lt;61,"46-60","60+")))</f>
        <v>31-45</v>
      </c>
      <c r="I655" t="str">
        <f>IF(C655&lt;18.5,"Underweight",IF(C655&lt;25,"Normal",IF(C655&lt;30,"Overweight","Obese")))</f>
        <v>Obese</v>
      </c>
      <c r="J655">
        <f>IF(E655="yes",1,0)</f>
        <v>0</v>
      </c>
      <c r="K655" t="str">
        <f>IF(G655&gt;15000,"High","Low")</f>
        <v>Low</v>
      </c>
    </row>
    <row r="656" spans="1:11" x14ac:dyDescent="0.35">
      <c r="A656">
        <v>59</v>
      </c>
      <c r="B656" t="s">
        <v>2</v>
      </c>
      <c r="C656">
        <v>35.200000000000003</v>
      </c>
      <c r="D656">
        <v>0</v>
      </c>
      <c r="E656" t="s">
        <v>4</v>
      </c>
      <c r="F656" t="s">
        <v>5</v>
      </c>
      <c r="G656" s="2">
        <v>12244.531000000001</v>
      </c>
      <c r="H656" s="1" t="str">
        <f>IF(A656&lt;31,"18-30",IF(A656&lt;46,"31-45",IF(A656&lt;61,"46-60","60+")))</f>
        <v>46-60</v>
      </c>
      <c r="I656" t="str">
        <f>IF(C656&lt;18.5,"Underweight",IF(C656&lt;25,"Normal",IF(C656&lt;30,"Overweight","Obese")))</f>
        <v>Obese</v>
      </c>
      <c r="J656">
        <f>IF(E656="yes",1,0)</f>
        <v>0</v>
      </c>
      <c r="K656" t="str">
        <f>IF(G656&gt;15000,"High","Low")</f>
        <v>Low</v>
      </c>
    </row>
    <row r="657" spans="1:11" x14ac:dyDescent="0.35">
      <c r="A657">
        <v>52</v>
      </c>
      <c r="B657" t="s">
        <v>2</v>
      </c>
      <c r="C657">
        <v>25.3</v>
      </c>
      <c r="D657">
        <v>2</v>
      </c>
      <c r="E657" t="s">
        <v>1</v>
      </c>
      <c r="F657" t="s">
        <v>5</v>
      </c>
      <c r="G657" s="2">
        <v>24667.419000000002</v>
      </c>
      <c r="H657" s="1" t="str">
        <f>IF(A657&lt;31,"18-30",IF(A657&lt;46,"31-45",IF(A657&lt;61,"46-60","60+")))</f>
        <v>46-60</v>
      </c>
      <c r="I657" t="str">
        <f>IF(C657&lt;18.5,"Underweight",IF(C657&lt;25,"Normal",IF(C657&lt;30,"Overweight","Obese")))</f>
        <v>Overweight</v>
      </c>
      <c r="J657">
        <f>IF(E657="yes",1,0)</f>
        <v>1</v>
      </c>
      <c r="K657" t="str">
        <f>IF(G657&gt;15000,"High","Low")</f>
        <v>High</v>
      </c>
    </row>
    <row r="658" spans="1:11" x14ac:dyDescent="0.35">
      <c r="A658">
        <v>26</v>
      </c>
      <c r="B658" t="s">
        <v>2</v>
      </c>
      <c r="C658">
        <v>42.4</v>
      </c>
      <c r="D658">
        <v>1</v>
      </c>
      <c r="E658" t="s">
        <v>4</v>
      </c>
      <c r="F658" t="s">
        <v>3</v>
      </c>
      <c r="G658" s="2">
        <v>3410.3240000000001</v>
      </c>
      <c r="H658" s="1" t="str">
        <f>IF(A658&lt;31,"18-30",IF(A658&lt;46,"31-45",IF(A658&lt;61,"46-60","60+")))</f>
        <v>18-30</v>
      </c>
      <c r="I658" t="str">
        <f>IF(C658&lt;18.5,"Underweight",IF(C658&lt;25,"Normal",IF(C658&lt;30,"Overweight","Obese")))</f>
        <v>Obese</v>
      </c>
      <c r="J658">
        <f>IF(E658="yes",1,0)</f>
        <v>0</v>
      </c>
      <c r="K658" t="str">
        <f>IF(G658&gt;15000,"High","Low")</f>
        <v>Low</v>
      </c>
    </row>
    <row r="659" spans="1:11" x14ac:dyDescent="0.35">
      <c r="A659">
        <v>27</v>
      </c>
      <c r="B659" t="s">
        <v>7</v>
      </c>
      <c r="C659">
        <v>33.155000000000001</v>
      </c>
      <c r="D659">
        <v>2</v>
      </c>
      <c r="E659" t="s">
        <v>4</v>
      </c>
      <c r="F659" t="s">
        <v>0</v>
      </c>
      <c r="G659" s="2">
        <v>4058.71245</v>
      </c>
      <c r="H659" s="1" t="str">
        <f>IF(A659&lt;31,"18-30",IF(A659&lt;46,"31-45",IF(A659&lt;61,"46-60","60+")))</f>
        <v>18-30</v>
      </c>
      <c r="I659" t="str">
        <f>IF(C659&lt;18.5,"Underweight",IF(C659&lt;25,"Normal",IF(C659&lt;30,"Overweight","Obese")))</f>
        <v>Obese</v>
      </c>
      <c r="J659">
        <f>IF(E659="yes",1,0)</f>
        <v>0</v>
      </c>
      <c r="K659" t="str">
        <f>IF(G659&gt;15000,"High","Low")</f>
        <v>Low</v>
      </c>
    </row>
    <row r="660" spans="1:11" x14ac:dyDescent="0.35">
      <c r="A660">
        <v>48</v>
      </c>
      <c r="B660" t="s">
        <v>2</v>
      </c>
      <c r="C660">
        <v>35.909999999999997</v>
      </c>
      <c r="D660">
        <v>1</v>
      </c>
      <c r="E660" t="s">
        <v>4</v>
      </c>
      <c r="F660" t="s">
        <v>6</v>
      </c>
      <c r="G660" s="2">
        <v>26392.260289999998</v>
      </c>
      <c r="H660" s="1" t="str">
        <f>IF(A660&lt;31,"18-30",IF(A660&lt;46,"31-45",IF(A660&lt;61,"46-60","60+")))</f>
        <v>46-60</v>
      </c>
      <c r="I660" t="str">
        <f>IF(C660&lt;18.5,"Underweight",IF(C660&lt;25,"Normal",IF(C660&lt;30,"Overweight","Obese")))</f>
        <v>Obese</v>
      </c>
      <c r="J660">
        <f>IF(E660="yes",1,0)</f>
        <v>0</v>
      </c>
      <c r="K660" t="str">
        <f>IF(G660&gt;15000,"High","Low")</f>
        <v>High</v>
      </c>
    </row>
    <row r="661" spans="1:11" x14ac:dyDescent="0.35">
      <c r="A661">
        <v>57</v>
      </c>
      <c r="B661" t="s">
        <v>2</v>
      </c>
      <c r="C661">
        <v>28.785</v>
      </c>
      <c r="D661">
        <v>4</v>
      </c>
      <c r="E661" t="s">
        <v>4</v>
      </c>
      <c r="F661" t="s">
        <v>6</v>
      </c>
      <c r="G661" s="2">
        <v>14394.398150000001</v>
      </c>
      <c r="H661" s="1" t="str">
        <f>IF(A661&lt;31,"18-30",IF(A661&lt;46,"31-45",IF(A661&lt;61,"46-60","60+")))</f>
        <v>46-60</v>
      </c>
      <c r="I661" t="str">
        <f>IF(C661&lt;18.5,"Underweight",IF(C661&lt;25,"Normal",IF(C661&lt;30,"Overweight","Obese")))</f>
        <v>Overweight</v>
      </c>
      <c r="J661">
        <f>IF(E661="yes",1,0)</f>
        <v>0</v>
      </c>
      <c r="K661" t="str">
        <f>IF(G661&gt;15000,"High","Low")</f>
        <v>Low</v>
      </c>
    </row>
    <row r="662" spans="1:11" x14ac:dyDescent="0.35">
      <c r="A662">
        <v>37</v>
      </c>
      <c r="B662" t="s">
        <v>7</v>
      </c>
      <c r="C662">
        <v>46.53</v>
      </c>
      <c r="D662">
        <v>3</v>
      </c>
      <c r="E662" t="s">
        <v>4</v>
      </c>
      <c r="F662" t="s">
        <v>5</v>
      </c>
      <c r="G662" s="2">
        <v>6435.6237000000001</v>
      </c>
      <c r="H662" s="1" t="str">
        <f>IF(A662&lt;31,"18-30",IF(A662&lt;46,"31-45",IF(A662&lt;61,"46-60","60+")))</f>
        <v>31-45</v>
      </c>
      <c r="I662" t="str">
        <f>IF(C662&lt;18.5,"Underweight",IF(C662&lt;25,"Normal",IF(C662&lt;30,"Overweight","Obese")))</f>
        <v>Obese</v>
      </c>
      <c r="J662">
        <f>IF(E662="yes",1,0)</f>
        <v>0</v>
      </c>
      <c r="K662" t="str">
        <f>IF(G662&gt;15000,"High","Low")</f>
        <v>Low</v>
      </c>
    </row>
    <row r="663" spans="1:11" x14ac:dyDescent="0.35">
      <c r="A663">
        <v>57</v>
      </c>
      <c r="B663" t="s">
        <v>2</v>
      </c>
      <c r="C663">
        <v>23.98</v>
      </c>
      <c r="D663">
        <v>1</v>
      </c>
      <c r="E663" t="s">
        <v>4</v>
      </c>
      <c r="F663" t="s">
        <v>5</v>
      </c>
      <c r="G663" s="2">
        <v>22192.437109999999</v>
      </c>
      <c r="H663" s="1" t="str">
        <f>IF(A663&lt;31,"18-30",IF(A663&lt;46,"31-45",IF(A663&lt;61,"46-60","60+")))</f>
        <v>46-60</v>
      </c>
      <c r="I663" t="str">
        <f>IF(C663&lt;18.5,"Underweight",IF(C663&lt;25,"Normal",IF(C663&lt;30,"Overweight","Obese")))</f>
        <v>Normal</v>
      </c>
      <c r="J663">
        <f>IF(E663="yes",1,0)</f>
        <v>0</v>
      </c>
      <c r="K663" t="str">
        <f>IF(G663&gt;15000,"High","Low")</f>
        <v>High</v>
      </c>
    </row>
    <row r="664" spans="1:11" x14ac:dyDescent="0.35">
      <c r="A664">
        <v>32</v>
      </c>
      <c r="B664" t="s">
        <v>2</v>
      </c>
      <c r="C664">
        <v>31.54</v>
      </c>
      <c r="D664">
        <v>1</v>
      </c>
      <c r="E664" t="s">
        <v>4</v>
      </c>
      <c r="F664" t="s">
        <v>6</v>
      </c>
      <c r="G664" s="2">
        <v>5148.5526</v>
      </c>
      <c r="H664" s="1" t="str">
        <f>IF(A664&lt;31,"18-30",IF(A664&lt;46,"31-45",IF(A664&lt;61,"46-60","60+")))</f>
        <v>31-45</v>
      </c>
      <c r="I664" t="str">
        <f>IF(C664&lt;18.5,"Underweight",IF(C664&lt;25,"Normal",IF(C664&lt;30,"Overweight","Obese")))</f>
        <v>Obese</v>
      </c>
      <c r="J664">
        <f>IF(E664="yes",1,0)</f>
        <v>0</v>
      </c>
      <c r="K664" t="str">
        <f>IF(G664&gt;15000,"High","Low")</f>
        <v>Low</v>
      </c>
    </row>
    <row r="665" spans="1:11" x14ac:dyDescent="0.35">
      <c r="A665">
        <v>18</v>
      </c>
      <c r="B665" t="s">
        <v>7</v>
      </c>
      <c r="C665">
        <v>33.659999999999997</v>
      </c>
      <c r="D665">
        <v>0</v>
      </c>
      <c r="E665" t="s">
        <v>4</v>
      </c>
      <c r="F665" t="s">
        <v>5</v>
      </c>
      <c r="G665" s="2">
        <v>1136.3994</v>
      </c>
      <c r="H665" s="1" t="str">
        <f>IF(A665&lt;31,"18-30",IF(A665&lt;46,"31-45",IF(A665&lt;61,"46-60","60+")))</f>
        <v>18-30</v>
      </c>
      <c r="I665" t="str">
        <f>IF(C665&lt;18.5,"Underweight",IF(C665&lt;25,"Normal",IF(C665&lt;30,"Overweight","Obese")))</f>
        <v>Obese</v>
      </c>
      <c r="J665">
        <f>IF(E665="yes",1,0)</f>
        <v>0</v>
      </c>
      <c r="K665" t="str">
        <f>IF(G665&gt;15000,"High","Low")</f>
        <v>Low</v>
      </c>
    </row>
    <row r="666" spans="1:11" x14ac:dyDescent="0.35">
      <c r="A666">
        <v>64</v>
      </c>
      <c r="B666" t="s">
        <v>2</v>
      </c>
      <c r="C666">
        <v>22.99</v>
      </c>
      <c r="D666">
        <v>0</v>
      </c>
      <c r="E666" t="s">
        <v>1</v>
      </c>
      <c r="F666" t="s">
        <v>5</v>
      </c>
      <c r="G666" s="2">
        <v>27037.914100000002</v>
      </c>
      <c r="H666" s="1" t="str">
        <f>IF(A666&lt;31,"18-30",IF(A666&lt;46,"31-45",IF(A666&lt;61,"46-60","60+")))</f>
        <v>60+</v>
      </c>
      <c r="I666" t="str">
        <f>IF(C666&lt;18.5,"Underweight",IF(C666&lt;25,"Normal",IF(C666&lt;30,"Overweight","Obese")))</f>
        <v>Normal</v>
      </c>
      <c r="J666">
        <f>IF(E666="yes",1,0)</f>
        <v>1</v>
      </c>
      <c r="K666" t="str">
        <f>IF(G666&gt;15000,"High","Low")</f>
        <v>High</v>
      </c>
    </row>
    <row r="667" spans="1:11" x14ac:dyDescent="0.35">
      <c r="A667">
        <v>43</v>
      </c>
      <c r="B667" t="s">
        <v>7</v>
      </c>
      <c r="C667">
        <v>38.06</v>
      </c>
      <c r="D667">
        <v>2</v>
      </c>
      <c r="E667" t="s">
        <v>1</v>
      </c>
      <c r="F667" t="s">
        <v>5</v>
      </c>
      <c r="G667" s="2">
        <v>42560.430399999997</v>
      </c>
      <c r="H667" s="1" t="str">
        <f>IF(A667&lt;31,"18-30",IF(A667&lt;46,"31-45",IF(A667&lt;61,"46-60","60+")))</f>
        <v>31-45</v>
      </c>
      <c r="I667" t="str">
        <f>IF(C667&lt;18.5,"Underweight",IF(C667&lt;25,"Normal",IF(C667&lt;30,"Overweight","Obese")))</f>
        <v>Obese</v>
      </c>
      <c r="J667">
        <f>IF(E667="yes",1,0)</f>
        <v>1</v>
      </c>
      <c r="K667" t="str">
        <f>IF(G667&gt;15000,"High","Low")</f>
        <v>High</v>
      </c>
    </row>
    <row r="668" spans="1:11" x14ac:dyDescent="0.35">
      <c r="A668">
        <v>49</v>
      </c>
      <c r="B668" t="s">
        <v>7</v>
      </c>
      <c r="C668">
        <v>28.7</v>
      </c>
      <c r="D668">
        <v>1</v>
      </c>
      <c r="E668" t="s">
        <v>4</v>
      </c>
      <c r="F668" t="s">
        <v>3</v>
      </c>
      <c r="G668" s="2">
        <v>8703.4560000000001</v>
      </c>
      <c r="H668" s="1" t="str">
        <f>IF(A668&lt;31,"18-30",IF(A668&lt;46,"31-45",IF(A668&lt;61,"46-60","60+")))</f>
        <v>46-60</v>
      </c>
      <c r="I668" t="str">
        <f>IF(C668&lt;18.5,"Underweight",IF(C668&lt;25,"Normal",IF(C668&lt;30,"Overweight","Obese")))</f>
        <v>Overweight</v>
      </c>
      <c r="J668">
        <f>IF(E668="yes",1,0)</f>
        <v>0</v>
      </c>
      <c r="K668" t="str">
        <f>IF(G668&gt;15000,"High","Low")</f>
        <v>Low</v>
      </c>
    </row>
    <row r="669" spans="1:11" x14ac:dyDescent="0.35">
      <c r="A669">
        <v>40</v>
      </c>
      <c r="B669" t="s">
        <v>2</v>
      </c>
      <c r="C669">
        <v>32.774999999999999</v>
      </c>
      <c r="D669">
        <v>2</v>
      </c>
      <c r="E669" t="s">
        <v>1</v>
      </c>
      <c r="F669" t="s">
        <v>0</v>
      </c>
      <c r="G669" s="2">
        <v>40003.332249999999</v>
      </c>
      <c r="H669" s="1" t="str">
        <f>IF(A669&lt;31,"18-30",IF(A669&lt;46,"31-45",IF(A669&lt;61,"46-60","60+")))</f>
        <v>31-45</v>
      </c>
      <c r="I669" t="str">
        <f>IF(C669&lt;18.5,"Underweight",IF(C669&lt;25,"Normal",IF(C669&lt;30,"Overweight","Obese")))</f>
        <v>Obese</v>
      </c>
      <c r="J669">
        <f>IF(E669="yes",1,0)</f>
        <v>1</v>
      </c>
      <c r="K669" t="str">
        <f>IF(G669&gt;15000,"High","Low")</f>
        <v>High</v>
      </c>
    </row>
    <row r="670" spans="1:11" x14ac:dyDescent="0.35">
      <c r="A670">
        <v>62</v>
      </c>
      <c r="B670" t="s">
        <v>7</v>
      </c>
      <c r="C670">
        <v>32.015000000000001</v>
      </c>
      <c r="D670">
        <v>0</v>
      </c>
      <c r="E670" t="s">
        <v>1</v>
      </c>
      <c r="F670" t="s">
        <v>6</v>
      </c>
      <c r="G670" s="2">
        <v>45710.207849999999</v>
      </c>
      <c r="H670" s="1" t="str">
        <f>IF(A670&lt;31,"18-30",IF(A670&lt;46,"31-45",IF(A670&lt;61,"46-60","60+")))</f>
        <v>60+</v>
      </c>
      <c r="I670" t="str">
        <f>IF(C670&lt;18.5,"Underweight",IF(C670&lt;25,"Normal",IF(C670&lt;30,"Overweight","Obese")))</f>
        <v>Obese</v>
      </c>
      <c r="J670">
        <f>IF(E670="yes",1,0)</f>
        <v>1</v>
      </c>
      <c r="K670" t="str">
        <f>IF(G670&gt;15000,"High","Low")</f>
        <v>High</v>
      </c>
    </row>
    <row r="671" spans="1:11" x14ac:dyDescent="0.35">
      <c r="A671">
        <v>40</v>
      </c>
      <c r="B671" t="s">
        <v>2</v>
      </c>
      <c r="C671">
        <v>29.81</v>
      </c>
      <c r="D671">
        <v>1</v>
      </c>
      <c r="E671" t="s">
        <v>4</v>
      </c>
      <c r="F671" t="s">
        <v>5</v>
      </c>
      <c r="G671" s="2">
        <v>6500.2358999999997</v>
      </c>
      <c r="H671" s="1" t="str">
        <f>IF(A671&lt;31,"18-30",IF(A671&lt;46,"31-45",IF(A671&lt;61,"46-60","60+")))</f>
        <v>31-45</v>
      </c>
      <c r="I671" t="str">
        <f>IF(C671&lt;18.5,"Underweight",IF(C671&lt;25,"Normal",IF(C671&lt;30,"Overweight","Obese")))</f>
        <v>Overweight</v>
      </c>
      <c r="J671">
        <f>IF(E671="yes",1,0)</f>
        <v>0</v>
      </c>
      <c r="K671" t="str">
        <f>IF(G671&gt;15000,"High","Low")</f>
        <v>Low</v>
      </c>
    </row>
    <row r="672" spans="1:11" x14ac:dyDescent="0.35">
      <c r="A672">
        <v>30</v>
      </c>
      <c r="B672" t="s">
        <v>7</v>
      </c>
      <c r="C672">
        <v>31.57</v>
      </c>
      <c r="D672">
        <v>3</v>
      </c>
      <c r="E672" t="s">
        <v>4</v>
      </c>
      <c r="F672" t="s">
        <v>5</v>
      </c>
      <c r="G672" s="2">
        <v>4837.5823</v>
      </c>
      <c r="H672" s="1" t="str">
        <f>IF(A672&lt;31,"18-30",IF(A672&lt;46,"31-45",IF(A672&lt;61,"46-60","60+")))</f>
        <v>18-30</v>
      </c>
      <c r="I672" t="str">
        <f>IF(C672&lt;18.5,"Underweight",IF(C672&lt;25,"Normal",IF(C672&lt;30,"Overweight","Obese")))</f>
        <v>Obese</v>
      </c>
      <c r="J672">
        <f>IF(E672="yes",1,0)</f>
        <v>0</v>
      </c>
      <c r="K672" t="str">
        <f>IF(G672&gt;15000,"High","Low")</f>
        <v>Low</v>
      </c>
    </row>
    <row r="673" spans="1:11" x14ac:dyDescent="0.35">
      <c r="A673">
        <v>29</v>
      </c>
      <c r="B673" t="s">
        <v>2</v>
      </c>
      <c r="C673">
        <v>31.16</v>
      </c>
      <c r="D673">
        <v>0</v>
      </c>
      <c r="E673" t="s">
        <v>4</v>
      </c>
      <c r="F673" t="s">
        <v>6</v>
      </c>
      <c r="G673" s="2">
        <v>3943.5954000000002</v>
      </c>
      <c r="H673" s="1" t="str">
        <f>IF(A673&lt;31,"18-30",IF(A673&lt;46,"31-45",IF(A673&lt;61,"46-60","60+")))</f>
        <v>18-30</v>
      </c>
      <c r="I673" t="str">
        <f>IF(C673&lt;18.5,"Underweight",IF(C673&lt;25,"Normal",IF(C673&lt;30,"Overweight","Obese")))</f>
        <v>Obese</v>
      </c>
      <c r="J673">
        <f>IF(E673="yes",1,0)</f>
        <v>0</v>
      </c>
      <c r="K673" t="str">
        <f>IF(G673&gt;15000,"High","Low")</f>
        <v>Low</v>
      </c>
    </row>
    <row r="674" spans="1:11" x14ac:dyDescent="0.35">
      <c r="A674">
        <v>36</v>
      </c>
      <c r="B674" t="s">
        <v>7</v>
      </c>
      <c r="C674">
        <v>29.7</v>
      </c>
      <c r="D674">
        <v>0</v>
      </c>
      <c r="E674" t="s">
        <v>4</v>
      </c>
      <c r="F674" t="s">
        <v>5</v>
      </c>
      <c r="G674" s="2">
        <v>4399.7309999999998</v>
      </c>
      <c r="H674" s="1" t="str">
        <f>IF(A674&lt;31,"18-30",IF(A674&lt;46,"31-45",IF(A674&lt;61,"46-60","60+")))</f>
        <v>31-45</v>
      </c>
      <c r="I674" t="str">
        <f>IF(C674&lt;18.5,"Underweight",IF(C674&lt;25,"Normal",IF(C674&lt;30,"Overweight","Obese")))</f>
        <v>Overweight</v>
      </c>
      <c r="J674">
        <f>IF(E674="yes",1,0)</f>
        <v>0</v>
      </c>
      <c r="K674" t="str">
        <f>IF(G674&gt;15000,"High","Low")</f>
        <v>Low</v>
      </c>
    </row>
    <row r="675" spans="1:11" x14ac:dyDescent="0.35">
      <c r="A675">
        <v>41</v>
      </c>
      <c r="B675" t="s">
        <v>2</v>
      </c>
      <c r="C675">
        <v>31.02</v>
      </c>
      <c r="D675">
        <v>0</v>
      </c>
      <c r="E675" t="s">
        <v>4</v>
      </c>
      <c r="F675" t="s">
        <v>5</v>
      </c>
      <c r="G675" s="2">
        <v>6185.3208000000004</v>
      </c>
      <c r="H675" s="1" t="str">
        <f>IF(A675&lt;31,"18-30",IF(A675&lt;46,"31-45",IF(A675&lt;61,"46-60","60+")))</f>
        <v>31-45</v>
      </c>
      <c r="I675" t="str">
        <f>IF(C675&lt;18.5,"Underweight",IF(C675&lt;25,"Normal",IF(C675&lt;30,"Overweight","Obese")))</f>
        <v>Obese</v>
      </c>
      <c r="J675">
        <f>IF(E675="yes",1,0)</f>
        <v>0</v>
      </c>
      <c r="K675" t="str">
        <f>IF(G675&gt;15000,"High","Low")</f>
        <v>Low</v>
      </c>
    </row>
    <row r="676" spans="1:11" x14ac:dyDescent="0.35">
      <c r="A676">
        <v>44</v>
      </c>
      <c r="B676" t="s">
        <v>2</v>
      </c>
      <c r="C676">
        <v>43.89</v>
      </c>
      <c r="D676">
        <v>2</v>
      </c>
      <c r="E676" t="s">
        <v>1</v>
      </c>
      <c r="F676" t="s">
        <v>5</v>
      </c>
      <c r="G676" s="2">
        <v>46200.985099999998</v>
      </c>
      <c r="H676" s="1" t="str">
        <f>IF(A676&lt;31,"18-30",IF(A676&lt;46,"31-45",IF(A676&lt;61,"46-60","60+")))</f>
        <v>31-45</v>
      </c>
      <c r="I676" t="str">
        <f>IF(C676&lt;18.5,"Underweight",IF(C676&lt;25,"Normal",IF(C676&lt;30,"Overweight","Obese")))</f>
        <v>Obese</v>
      </c>
      <c r="J676">
        <f>IF(E676="yes",1,0)</f>
        <v>1</v>
      </c>
      <c r="K676" t="str">
        <f>IF(G676&gt;15000,"High","Low")</f>
        <v>High</v>
      </c>
    </row>
    <row r="677" spans="1:11" x14ac:dyDescent="0.35">
      <c r="A677">
        <v>45</v>
      </c>
      <c r="B677" t="s">
        <v>7</v>
      </c>
      <c r="C677">
        <v>21.375</v>
      </c>
      <c r="D677">
        <v>0</v>
      </c>
      <c r="E677" t="s">
        <v>4</v>
      </c>
      <c r="F677" t="s">
        <v>0</v>
      </c>
      <c r="G677" s="2">
        <v>7222.7862500000001</v>
      </c>
      <c r="H677" s="1" t="str">
        <f>IF(A677&lt;31,"18-30",IF(A677&lt;46,"31-45",IF(A677&lt;61,"46-60","60+")))</f>
        <v>31-45</v>
      </c>
      <c r="I677" t="str">
        <f>IF(C677&lt;18.5,"Underweight",IF(C677&lt;25,"Normal",IF(C677&lt;30,"Overweight","Obese")))</f>
        <v>Normal</v>
      </c>
      <c r="J677">
        <f>IF(E677="yes",1,0)</f>
        <v>0</v>
      </c>
      <c r="K677" t="str">
        <f>IF(G677&gt;15000,"High","Low")</f>
        <v>Low</v>
      </c>
    </row>
    <row r="678" spans="1:11" x14ac:dyDescent="0.35">
      <c r="A678">
        <v>55</v>
      </c>
      <c r="B678" t="s">
        <v>2</v>
      </c>
      <c r="C678">
        <v>40.81</v>
      </c>
      <c r="D678">
        <v>3</v>
      </c>
      <c r="E678" t="s">
        <v>4</v>
      </c>
      <c r="F678" t="s">
        <v>5</v>
      </c>
      <c r="G678" s="2">
        <v>12485.8009</v>
      </c>
      <c r="H678" s="1" t="str">
        <f>IF(A678&lt;31,"18-30",IF(A678&lt;46,"31-45",IF(A678&lt;61,"46-60","60+")))</f>
        <v>46-60</v>
      </c>
      <c r="I678" t="str">
        <f>IF(C678&lt;18.5,"Underweight",IF(C678&lt;25,"Normal",IF(C678&lt;30,"Overweight","Obese")))</f>
        <v>Obese</v>
      </c>
      <c r="J678">
        <f>IF(E678="yes",1,0)</f>
        <v>0</v>
      </c>
      <c r="K678" t="str">
        <f>IF(G678&gt;15000,"High","Low")</f>
        <v>Low</v>
      </c>
    </row>
    <row r="679" spans="1:11" x14ac:dyDescent="0.35">
      <c r="A679">
        <v>60</v>
      </c>
      <c r="B679" t="s">
        <v>7</v>
      </c>
      <c r="C679">
        <v>31.35</v>
      </c>
      <c r="D679">
        <v>3</v>
      </c>
      <c r="E679" t="s">
        <v>1</v>
      </c>
      <c r="F679" t="s">
        <v>0</v>
      </c>
      <c r="G679" s="2">
        <v>46130.5265</v>
      </c>
      <c r="H679" s="1" t="str">
        <f>IF(A679&lt;31,"18-30",IF(A679&lt;46,"31-45",IF(A679&lt;61,"46-60","60+")))</f>
        <v>46-60</v>
      </c>
      <c r="I679" t="str">
        <f>IF(C679&lt;18.5,"Underweight",IF(C679&lt;25,"Normal",IF(C679&lt;30,"Overweight","Obese")))</f>
        <v>Obese</v>
      </c>
      <c r="J679">
        <f>IF(E679="yes",1,0)</f>
        <v>1</v>
      </c>
      <c r="K679" t="str">
        <f>IF(G679&gt;15000,"High","Low")</f>
        <v>High</v>
      </c>
    </row>
    <row r="680" spans="1:11" x14ac:dyDescent="0.35">
      <c r="A680">
        <v>56</v>
      </c>
      <c r="B680" t="s">
        <v>7</v>
      </c>
      <c r="C680">
        <v>36.1</v>
      </c>
      <c r="D680">
        <v>3</v>
      </c>
      <c r="E680" t="s">
        <v>4</v>
      </c>
      <c r="F680" t="s">
        <v>3</v>
      </c>
      <c r="G680" s="2">
        <v>12363.547</v>
      </c>
      <c r="H680" s="1" t="str">
        <f>IF(A680&lt;31,"18-30",IF(A680&lt;46,"31-45",IF(A680&lt;61,"46-60","60+")))</f>
        <v>46-60</v>
      </c>
      <c r="I680" t="str">
        <f>IF(C680&lt;18.5,"Underweight",IF(C680&lt;25,"Normal",IF(C680&lt;30,"Overweight","Obese")))</f>
        <v>Obese</v>
      </c>
      <c r="J680">
        <f>IF(E680="yes",1,0)</f>
        <v>0</v>
      </c>
      <c r="K680" t="str">
        <f>IF(G680&gt;15000,"High","Low")</f>
        <v>Low</v>
      </c>
    </row>
    <row r="681" spans="1:11" x14ac:dyDescent="0.35">
      <c r="A681">
        <v>49</v>
      </c>
      <c r="B681" t="s">
        <v>2</v>
      </c>
      <c r="C681">
        <v>23.18</v>
      </c>
      <c r="D681">
        <v>2</v>
      </c>
      <c r="E681" t="s">
        <v>4</v>
      </c>
      <c r="F681" t="s">
        <v>0</v>
      </c>
      <c r="G681" s="2">
        <v>10156.7832</v>
      </c>
      <c r="H681" s="1" t="str">
        <f>IF(A681&lt;31,"18-30",IF(A681&lt;46,"31-45",IF(A681&lt;61,"46-60","60+")))</f>
        <v>46-60</v>
      </c>
      <c r="I681" t="str">
        <f>IF(C681&lt;18.5,"Underweight",IF(C681&lt;25,"Normal",IF(C681&lt;30,"Overweight","Obese")))</f>
        <v>Normal</v>
      </c>
      <c r="J681">
        <f>IF(E681="yes",1,0)</f>
        <v>0</v>
      </c>
      <c r="K681" t="str">
        <f>IF(G681&gt;15000,"High","Low")</f>
        <v>Low</v>
      </c>
    </row>
    <row r="682" spans="1:11" x14ac:dyDescent="0.35">
      <c r="A682">
        <v>21</v>
      </c>
      <c r="B682" t="s">
        <v>2</v>
      </c>
      <c r="C682">
        <v>17.399999999999999</v>
      </c>
      <c r="D682">
        <v>1</v>
      </c>
      <c r="E682" t="s">
        <v>4</v>
      </c>
      <c r="F682" t="s">
        <v>3</v>
      </c>
      <c r="G682" s="2">
        <v>2585.2689999999998</v>
      </c>
      <c r="H682" s="1" t="str">
        <f>IF(A682&lt;31,"18-30",IF(A682&lt;46,"31-45",IF(A682&lt;61,"46-60","60+")))</f>
        <v>18-30</v>
      </c>
      <c r="I682" t="str">
        <f>IF(C682&lt;18.5,"Underweight",IF(C682&lt;25,"Normal",IF(C682&lt;30,"Overweight","Obese")))</f>
        <v>Underweight</v>
      </c>
      <c r="J682">
        <f>IF(E682="yes",1,0)</f>
        <v>0</v>
      </c>
      <c r="K682" t="str">
        <f>IF(G682&gt;15000,"High","Low")</f>
        <v>Low</v>
      </c>
    </row>
    <row r="683" spans="1:11" x14ac:dyDescent="0.35">
      <c r="A683">
        <v>19</v>
      </c>
      <c r="B683" t="s">
        <v>7</v>
      </c>
      <c r="C683">
        <v>20.3</v>
      </c>
      <c r="D683">
        <v>0</v>
      </c>
      <c r="E683" t="s">
        <v>4</v>
      </c>
      <c r="F683" t="s">
        <v>3</v>
      </c>
      <c r="G683" s="2">
        <v>1242.26</v>
      </c>
      <c r="H683" s="1" t="str">
        <f>IF(A683&lt;31,"18-30",IF(A683&lt;46,"31-45",IF(A683&lt;61,"46-60","60+")))</f>
        <v>18-30</v>
      </c>
      <c r="I683" t="str">
        <f>IF(C683&lt;18.5,"Underweight",IF(C683&lt;25,"Normal",IF(C683&lt;30,"Overweight","Obese")))</f>
        <v>Normal</v>
      </c>
      <c r="J683">
        <f>IF(E683="yes",1,0)</f>
        <v>0</v>
      </c>
      <c r="K683" t="str">
        <f>IF(G683&gt;15000,"High","Low")</f>
        <v>Low</v>
      </c>
    </row>
    <row r="684" spans="1:11" x14ac:dyDescent="0.35">
      <c r="A684">
        <v>39</v>
      </c>
      <c r="B684" t="s">
        <v>7</v>
      </c>
      <c r="C684">
        <v>35.299999999999997</v>
      </c>
      <c r="D684">
        <v>2</v>
      </c>
      <c r="E684" t="s">
        <v>1</v>
      </c>
      <c r="F684" t="s">
        <v>3</v>
      </c>
      <c r="G684" s="2">
        <v>40103.89</v>
      </c>
      <c r="H684" s="1" t="str">
        <f>IF(A684&lt;31,"18-30",IF(A684&lt;46,"31-45",IF(A684&lt;61,"46-60","60+")))</f>
        <v>31-45</v>
      </c>
      <c r="I684" t="str">
        <f>IF(C684&lt;18.5,"Underweight",IF(C684&lt;25,"Normal",IF(C684&lt;30,"Overweight","Obese")))</f>
        <v>Obese</v>
      </c>
      <c r="J684">
        <f>IF(E684="yes",1,0)</f>
        <v>1</v>
      </c>
      <c r="K684" t="str">
        <f>IF(G684&gt;15000,"High","Low")</f>
        <v>High</v>
      </c>
    </row>
    <row r="685" spans="1:11" x14ac:dyDescent="0.35">
      <c r="A685">
        <v>53</v>
      </c>
      <c r="B685" t="s">
        <v>7</v>
      </c>
      <c r="C685">
        <v>24.32</v>
      </c>
      <c r="D685">
        <v>0</v>
      </c>
      <c r="E685" t="s">
        <v>4</v>
      </c>
      <c r="F685" t="s">
        <v>0</v>
      </c>
      <c r="G685" s="2">
        <v>9863.4717999999993</v>
      </c>
      <c r="H685" s="1" t="str">
        <f>IF(A685&lt;31,"18-30",IF(A685&lt;46,"31-45",IF(A685&lt;61,"46-60","60+")))</f>
        <v>46-60</v>
      </c>
      <c r="I685" t="str">
        <f>IF(C685&lt;18.5,"Underweight",IF(C685&lt;25,"Normal",IF(C685&lt;30,"Overweight","Obese")))</f>
        <v>Normal</v>
      </c>
      <c r="J685">
        <f>IF(E685="yes",1,0)</f>
        <v>0</v>
      </c>
      <c r="K685" t="str">
        <f>IF(G685&gt;15000,"High","Low")</f>
        <v>Low</v>
      </c>
    </row>
    <row r="686" spans="1:11" x14ac:dyDescent="0.35">
      <c r="A686">
        <v>33</v>
      </c>
      <c r="B686" t="s">
        <v>2</v>
      </c>
      <c r="C686">
        <v>18.5</v>
      </c>
      <c r="D686">
        <v>1</v>
      </c>
      <c r="E686" t="s">
        <v>4</v>
      </c>
      <c r="F686" t="s">
        <v>3</v>
      </c>
      <c r="G686" s="2">
        <v>4766.0219999999999</v>
      </c>
      <c r="H686" s="1" t="str">
        <f>IF(A686&lt;31,"18-30",IF(A686&lt;46,"31-45",IF(A686&lt;61,"46-60","60+")))</f>
        <v>31-45</v>
      </c>
      <c r="I686" t="str">
        <f>IF(C686&lt;18.5,"Underweight",IF(C686&lt;25,"Normal",IF(C686&lt;30,"Overweight","Obese")))</f>
        <v>Normal</v>
      </c>
      <c r="J686">
        <f>IF(E686="yes",1,0)</f>
        <v>0</v>
      </c>
      <c r="K686" t="str">
        <f>IF(G686&gt;15000,"High","Low")</f>
        <v>Low</v>
      </c>
    </row>
    <row r="687" spans="1:11" x14ac:dyDescent="0.35">
      <c r="A687">
        <v>53</v>
      </c>
      <c r="B687" t="s">
        <v>7</v>
      </c>
      <c r="C687">
        <v>26.41</v>
      </c>
      <c r="D687">
        <v>2</v>
      </c>
      <c r="E687" t="s">
        <v>4</v>
      </c>
      <c r="F687" t="s">
        <v>6</v>
      </c>
      <c r="G687" s="2">
        <v>11244.376899999999</v>
      </c>
      <c r="H687" s="1" t="str">
        <f>IF(A687&lt;31,"18-30",IF(A687&lt;46,"31-45",IF(A687&lt;61,"46-60","60+")))</f>
        <v>46-60</v>
      </c>
      <c r="I687" t="str">
        <f>IF(C687&lt;18.5,"Underweight",IF(C687&lt;25,"Normal",IF(C687&lt;30,"Overweight","Obese")))</f>
        <v>Overweight</v>
      </c>
      <c r="J687">
        <f>IF(E687="yes",1,0)</f>
        <v>0</v>
      </c>
      <c r="K687" t="str">
        <f>IF(G687&gt;15000,"High","Low")</f>
        <v>Low</v>
      </c>
    </row>
    <row r="688" spans="1:11" x14ac:dyDescent="0.35">
      <c r="A688">
        <v>42</v>
      </c>
      <c r="B688" t="s">
        <v>7</v>
      </c>
      <c r="C688">
        <v>26.125</v>
      </c>
      <c r="D688">
        <v>2</v>
      </c>
      <c r="E688" t="s">
        <v>4</v>
      </c>
      <c r="F688" t="s">
        <v>6</v>
      </c>
      <c r="G688" s="2">
        <v>7729.6457499999997</v>
      </c>
      <c r="H688" s="1" t="str">
        <f>IF(A688&lt;31,"18-30",IF(A688&lt;46,"31-45",IF(A688&lt;61,"46-60","60+")))</f>
        <v>31-45</v>
      </c>
      <c r="I688" t="str">
        <f>IF(C688&lt;18.5,"Underweight",IF(C688&lt;25,"Normal",IF(C688&lt;30,"Overweight","Obese")))</f>
        <v>Overweight</v>
      </c>
      <c r="J688">
        <f>IF(E688="yes",1,0)</f>
        <v>0</v>
      </c>
      <c r="K688" t="str">
        <f>IF(G688&gt;15000,"High","Low")</f>
        <v>Low</v>
      </c>
    </row>
    <row r="689" spans="1:11" x14ac:dyDescent="0.35">
      <c r="A689">
        <v>40</v>
      </c>
      <c r="B689" t="s">
        <v>7</v>
      </c>
      <c r="C689">
        <v>41.69</v>
      </c>
      <c r="D689">
        <v>0</v>
      </c>
      <c r="E689" t="s">
        <v>4</v>
      </c>
      <c r="F689" t="s">
        <v>5</v>
      </c>
      <c r="G689" s="2">
        <v>5438.7491</v>
      </c>
      <c r="H689" s="1" t="str">
        <f>IF(A689&lt;31,"18-30",IF(A689&lt;46,"31-45",IF(A689&lt;61,"46-60","60+")))</f>
        <v>31-45</v>
      </c>
      <c r="I689" t="str">
        <f>IF(C689&lt;18.5,"Underweight",IF(C689&lt;25,"Normal",IF(C689&lt;30,"Overweight","Obese")))</f>
        <v>Obese</v>
      </c>
      <c r="J689">
        <f>IF(E689="yes",1,0)</f>
        <v>0</v>
      </c>
      <c r="K689" t="str">
        <f>IF(G689&gt;15000,"High","Low")</f>
        <v>Low</v>
      </c>
    </row>
    <row r="690" spans="1:11" x14ac:dyDescent="0.35">
      <c r="A690">
        <v>47</v>
      </c>
      <c r="B690" t="s">
        <v>2</v>
      </c>
      <c r="C690">
        <v>24.1</v>
      </c>
      <c r="D690">
        <v>1</v>
      </c>
      <c r="E690" t="s">
        <v>4</v>
      </c>
      <c r="F690" t="s">
        <v>3</v>
      </c>
      <c r="G690" s="2">
        <v>26236.579969999999</v>
      </c>
      <c r="H690" s="1" t="str">
        <f>IF(A690&lt;31,"18-30",IF(A690&lt;46,"31-45",IF(A690&lt;61,"46-60","60+")))</f>
        <v>46-60</v>
      </c>
      <c r="I690" t="str">
        <f>IF(C690&lt;18.5,"Underweight",IF(C690&lt;25,"Normal",IF(C690&lt;30,"Overweight","Obese")))</f>
        <v>Normal</v>
      </c>
      <c r="J690">
        <f>IF(E690="yes",1,0)</f>
        <v>0</v>
      </c>
      <c r="K690" t="str">
        <f>IF(G690&gt;15000,"High","Low")</f>
        <v>High</v>
      </c>
    </row>
    <row r="691" spans="1:11" x14ac:dyDescent="0.35">
      <c r="A691">
        <v>27</v>
      </c>
      <c r="B691" t="s">
        <v>7</v>
      </c>
      <c r="C691">
        <v>31.13</v>
      </c>
      <c r="D691">
        <v>1</v>
      </c>
      <c r="E691" t="s">
        <v>1</v>
      </c>
      <c r="F691" t="s">
        <v>5</v>
      </c>
      <c r="G691" s="2">
        <v>34806.467700000001</v>
      </c>
      <c r="H691" s="1" t="str">
        <f>IF(A691&lt;31,"18-30",IF(A691&lt;46,"31-45",IF(A691&lt;61,"46-60","60+")))</f>
        <v>18-30</v>
      </c>
      <c r="I691" t="str">
        <f>IF(C691&lt;18.5,"Underweight",IF(C691&lt;25,"Normal",IF(C691&lt;30,"Overweight","Obese")))</f>
        <v>Obese</v>
      </c>
      <c r="J691">
        <f>IF(E691="yes",1,0)</f>
        <v>1</v>
      </c>
      <c r="K691" t="str">
        <f>IF(G691&gt;15000,"High","Low")</f>
        <v>High</v>
      </c>
    </row>
    <row r="692" spans="1:11" x14ac:dyDescent="0.35">
      <c r="A692">
        <v>21</v>
      </c>
      <c r="B692" t="s">
        <v>7</v>
      </c>
      <c r="C692">
        <v>27.36</v>
      </c>
      <c r="D692">
        <v>0</v>
      </c>
      <c r="E692" t="s">
        <v>4</v>
      </c>
      <c r="F692" t="s">
        <v>6</v>
      </c>
      <c r="G692" s="2">
        <v>2104.1134000000002</v>
      </c>
      <c r="H692" s="1" t="str">
        <f>IF(A692&lt;31,"18-30",IF(A692&lt;46,"31-45",IF(A692&lt;61,"46-60","60+")))</f>
        <v>18-30</v>
      </c>
      <c r="I692" t="str">
        <f>IF(C692&lt;18.5,"Underweight",IF(C692&lt;25,"Normal",IF(C692&lt;30,"Overweight","Obese")))</f>
        <v>Overweight</v>
      </c>
      <c r="J692">
        <f>IF(E692="yes",1,0)</f>
        <v>0</v>
      </c>
      <c r="K692" t="str">
        <f>IF(G692&gt;15000,"High","Low")</f>
        <v>Low</v>
      </c>
    </row>
    <row r="693" spans="1:11" x14ac:dyDescent="0.35">
      <c r="A693">
        <v>47</v>
      </c>
      <c r="B693" t="s">
        <v>7</v>
      </c>
      <c r="C693">
        <v>36.200000000000003</v>
      </c>
      <c r="D693">
        <v>1</v>
      </c>
      <c r="E693" t="s">
        <v>4</v>
      </c>
      <c r="F693" t="s">
        <v>3</v>
      </c>
      <c r="G693" s="2">
        <v>8068.1850000000004</v>
      </c>
      <c r="H693" s="1" t="str">
        <f>IF(A693&lt;31,"18-30",IF(A693&lt;46,"31-45",IF(A693&lt;61,"46-60","60+")))</f>
        <v>46-60</v>
      </c>
      <c r="I693" t="str">
        <f>IF(C693&lt;18.5,"Underweight",IF(C693&lt;25,"Normal",IF(C693&lt;30,"Overweight","Obese")))</f>
        <v>Obese</v>
      </c>
      <c r="J693">
        <f>IF(E693="yes",1,0)</f>
        <v>0</v>
      </c>
      <c r="K693" t="str">
        <f>IF(G693&gt;15000,"High","Low")</f>
        <v>Low</v>
      </c>
    </row>
    <row r="694" spans="1:11" x14ac:dyDescent="0.35">
      <c r="A694">
        <v>20</v>
      </c>
      <c r="B694" t="s">
        <v>7</v>
      </c>
      <c r="C694">
        <v>32.395000000000003</v>
      </c>
      <c r="D694">
        <v>1</v>
      </c>
      <c r="E694" t="s">
        <v>4</v>
      </c>
      <c r="F694" t="s">
        <v>0</v>
      </c>
      <c r="G694" s="2">
        <v>2362.2290499999999</v>
      </c>
      <c r="H694" s="1" t="str">
        <f>IF(A694&lt;31,"18-30",IF(A694&lt;46,"31-45",IF(A694&lt;61,"46-60","60+")))</f>
        <v>18-30</v>
      </c>
      <c r="I694" t="str">
        <f>IF(C694&lt;18.5,"Underweight",IF(C694&lt;25,"Normal",IF(C694&lt;30,"Overweight","Obese")))</f>
        <v>Obese</v>
      </c>
      <c r="J694">
        <f>IF(E694="yes",1,0)</f>
        <v>0</v>
      </c>
      <c r="K694" t="str">
        <f>IF(G694&gt;15000,"High","Low")</f>
        <v>Low</v>
      </c>
    </row>
    <row r="695" spans="1:11" x14ac:dyDescent="0.35">
      <c r="A695">
        <v>24</v>
      </c>
      <c r="B695" t="s">
        <v>7</v>
      </c>
      <c r="C695">
        <v>23.655000000000001</v>
      </c>
      <c r="D695">
        <v>0</v>
      </c>
      <c r="E695" t="s">
        <v>4</v>
      </c>
      <c r="F695" t="s">
        <v>0</v>
      </c>
      <c r="G695" s="2">
        <v>2352.9684499999998</v>
      </c>
      <c r="H695" s="1" t="str">
        <f>IF(A695&lt;31,"18-30",IF(A695&lt;46,"31-45",IF(A695&lt;61,"46-60","60+")))</f>
        <v>18-30</v>
      </c>
      <c r="I695" t="str">
        <f>IF(C695&lt;18.5,"Underweight",IF(C695&lt;25,"Normal",IF(C695&lt;30,"Overweight","Obese")))</f>
        <v>Normal</v>
      </c>
      <c r="J695">
        <f>IF(E695="yes",1,0)</f>
        <v>0</v>
      </c>
      <c r="K695" t="str">
        <f>IF(G695&gt;15000,"High","Low")</f>
        <v>Low</v>
      </c>
    </row>
    <row r="696" spans="1:11" x14ac:dyDescent="0.35">
      <c r="A696">
        <v>27</v>
      </c>
      <c r="B696" t="s">
        <v>2</v>
      </c>
      <c r="C696">
        <v>34.799999999999997</v>
      </c>
      <c r="D696">
        <v>1</v>
      </c>
      <c r="E696" t="s">
        <v>4</v>
      </c>
      <c r="F696" t="s">
        <v>3</v>
      </c>
      <c r="G696" s="2">
        <v>3577.9989999999998</v>
      </c>
      <c r="H696" s="1" t="str">
        <f>IF(A696&lt;31,"18-30",IF(A696&lt;46,"31-45",IF(A696&lt;61,"46-60","60+")))</f>
        <v>18-30</v>
      </c>
      <c r="I696" t="str">
        <f>IF(C696&lt;18.5,"Underweight",IF(C696&lt;25,"Normal",IF(C696&lt;30,"Overweight","Obese")))</f>
        <v>Obese</v>
      </c>
      <c r="J696">
        <f>IF(E696="yes",1,0)</f>
        <v>0</v>
      </c>
      <c r="K696" t="str">
        <f>IF(G696&gt;15000,"High","Low")</f>
        <v>Low</v>
      </c>
    </row>
    <row r="697" spans="1:11" x14ac:dyDescent="0.35">
      <c r="A697">
        <v>26</v>
      </c>
      <c r="B697" t="s">
        <v>2</v>
      </c>
      <c r="C697">
        <v>40.185000000000002</v>
      </c>
      <c r="D697">
        <v>0</v>
      </c>
      <c r="E697" t="s">
        <v>4</v>
      </c>
      <c r="F697" t="s">
        <v>0</v>
      </c>
      <c r="G697" s="2">
        <v>3201.2451500000002</v>
      </c>
      <c r="H697" s="1" t="str">
        <f>IF(A697&lt;31,"18-30",IF(A697&lt;46,"31-45",IF(A697&lt;61,"46-60","60+")))</f>
        <v>18-30</v>
      </c>
      <c r="I697" t="str">
        <f>IF(C697&lt;18.5,"Underweight",IF(C697&lt;25,"Normal",IF(C697&lt;30,"Overweight","Obese")))</f>
        <v>Obese</v>
      </c>
      <c r="J697">
        <f>IF(E697="yes",1,0)</f>
        <v>0</v>
      </c>
      <c r="K697" t="str">
        <f>IF(G697&gt;15000,"High","Low")</f>
        <v>Low</v>
      </c>
    </row>
    <row r="698" spans="1:11" x14ac:dyDescent="0.35">
      <c r="A698">
        <v>53</v>
      </c>
      <c r="B698" t="s">
        <v>2</v>
      </c>
      <c r="C698">
        <v>32.299999999999997</v>
      </c>
      <c r="D698">
        <v>2</v>
      </c>
      <c r="E698" t="s">
        <v>4</v>
      </c>
      <c r="F698" t="s">
        <v>6</v>
      </c>
      <c r="G698" s="2">
        <v>29186.482360000002</v>
      </c>
      <c r="H698" s="1" t="str">
        <f>IF(A698&lt;31,"18-30",IF(A698&lt;46,"31-45",IF(A698&lt;61,"46-60","60+")))</f>
        <v>46-60</v>
      </c>
      <c r="I698" t="str">
        <f>IF(C698&lt;18.5,"Underweight",IF(C698&lt;25,"Normal",IF(C698&lt;30,"Overweight","Obese")))</f>
        <v>Obese</v>
      </c>
      <c r="J698">
        <f>IF(E698="yes",1,0)</f>
        <v>0</v>
      </c>
      <c r="K698" t="str">
        <f>IF(G698&gt;15000,"High","Low")</f>
        <v>High</v>
      </c>
    </row>
    <row r="699" spans="1:11" x14ac:dyDescent="0.35">
      <c r="A699">
        <v>41</v>
      </c>
      <c r="B699" t="s">
        <v>7</v>
      </c>
      <c r="C699">
        <v>35.75</v>
      </c>
      <c r="D699">
        <v>1</v>
      </c>
      <c r="E699" t="s">
        <v>1</v>
      </c>
      <c r="F699" t="s">
        <v>5</v>
      </c>
      <c r="G699" s="2">
        <v>40273.645499999999</v>
      </c>
      <c r="H699" s="1" t="str">
        <f>IF(A699&lt;31,"18-30",IF(A699&lt;46,"31-45",IF(A699&lt;61,"46-60","60+")))</f>
        <v>31-45</v>
      </c>
      <c r="I699" t="str">
        <f>IF(C699&lt;18.5,"Underweight",IF(C699&lt;25,"Normal",IF(C699&lt;30,"Overweight","Obese")))</f>
        <v>Obese</v>
      </c>
      <c r="J699">
        <f>IF(E699="yes",1,0)</f>
        <v>1</v>
      </c>
      <c r="K699" t="str">
        <f>IF(G699&gt;15000,"High","Low")</f>
        <v>High</v>
      </c>
    </row>
    <row r="700" spans="1:11" x14ac:dyDescent="0.35">
      <c r="A700">
        <v>56</v>
      </c>
      <c r="B700" t="s">
        <v>7</v>
      </c>
      <c r="C700">
        <v>33.725000000000001</v>
      </c>
      <c r="D700">
        <v>0</v>
      </c>
      <c r="E700" t="s">
        <v>4</v>
      </c>
      <c r="F700" t="s">
        <v>0</v>
      </c>
      <c r="G700" s="2">
        <v>10976.24575</v>
      </c>
      <c r="H700" s="1" t="str">
        <f>IF(A700&lt;31,"18-30",IF(A700&lt;46,"31-45",IF(A700&lt;61,"46-60","60+")))</f>
        <v>46-60</v>
      </c>
      <c r="I700" t="str">
        <f>IF(C700&lt;18.5,"Underweight",IF(C700&lt;25,"Normal",IF(C700&lt;30,"Overweight","Obese")))</f>
        <v>Obese</v>
      </c>
      <c r="J700">
        <f>IF(E700="yes",1,0)</f>
        <v>0</v>
      </c>
      <c r="K700" t="str">
        <f>IF(G700&gt;15000,"High","Low")</f>
        <v>Low</v>
      </c>
    </row>
    <row r="701" spans="1:11" x14ac:dyDescent="0.35">
      <c r="A701">
        <v>23</v>
      </c>
      <c r="B701" t="s">
        <v>2</v>
      </c>
      <c r="C701">
        <v>39.270000000000003</v>
      </c>
      <c r="D701">
        <v>2</v>
      </c>
      <c r="E701" t="s">
        <v>4</v>
      </c>
      <c r="F701" t="s">
        <v>5</v>
      </c>
      <c r="G701" s="2">
        <v>3500.6122999999998</v>
      </c>
      <c r="H701" s="1" t="str">
        <f>IF(A701&lt;31,"18-30",IF(A701&lt;46,"31-45",IF(A701&lt;61,"46-60","60+")))</f>
        <v>18-30</v>
      </c>
      <c r="I701" t="str">
        <f>IF(C701&lt;18.5,"Underweight",IF(C701&lt;25,"Normal",IF(C701&lt;30,"Overweight","Obese")))</f>
        <v>Obese</v>
      </c>
      <c r="J701">
        <f>IF(E701="yes",1,0)</f>
        <v>0</v>
      </c>
      <c r="K701" t="str">
        <f>IF(G701&gt;15000,"High","Low")</f>
        <v>Low</v>
      </c>
    </row>
    <row r="702" spans="1:11" x14ac:dyDescent="0.35">
      <c r="A702">
        <v>21</v>
      </c>
      <c r="B702" t="s">
        <v>2</v>
      </c>
      <c r="C702">
        <v>34.869999999999997</v>
      </c>
      <c r="D702">
        <v>0</v>
      </c>
      <c r="E702" t="s">
        <v>4</v>
      </c>
      <c r="F702" t="s">
        <v>5</v>
      </c>
      <c r="G702" s="2">
        <v>2020.5523000000001</v>
      </c>
      <c r="H702" s="1" t="str">
        <f>IF(A702&lt;31,"18-30",IF(A702&lt;46,"31-45",IF(A702&lt;61,"46-60","60+")))</f>
        <v>18-30</v>
      </c>
      <c r="I702" t="str">
        <f>IF(C702&lt;18.5,"Underweight",IF(C702&lt;25,"Normal",IF(C702&lt;30,"Overweight","Obese")))</f>
        <v>Obese</v>
      </c>
      <c r="J702">
        <f>IF(E702="yes",1,0)</f>
        <v>0</v>
      </c>
      <c r="K702" t="str">
        <f>IF(G702&gt;15000,"High","Low")</f>
        <v>Low</v>
      </c>
    </row>
    <row r="703" spans="1:11" x14ac:dyDescent="0.35">
      <c r="A703">
        <v>50</v>
      </c>
      <c r="B703" t="s">
        <v>2</v>
      </c>
      <c r="C703">
        <v>44.744999999999997</v>
      </c>
      <c r="D703">
        <v>0</v>
      </c>
      <c r="E703" t="s">
        <v>4</v>
      </c>
      <c r="F703" t="s">
        <v>6</v>
      </c>
      <c r="G703" s="2">
        <v>9541.6955500000004</v>
      </c>
      <c r="H703" s="1" t="str">
        <f>IF(A703&lt;31,"18-30",IF(A703&lt;46,"31-45",IF(A703&lt;61,"46-60","60+")))</f>
        <v>46-60</v>
      </c>
      <c r="I703" t="str">
        <f>IF(C703&lt;18.5,"Underweight",IF(C703&lt;25,"Normal",IF(C703&lt;30,"Overweight","Obese")))</f>
        <v>Obese</v>
      </c>
      <c r="J703">
        <f>IF(E703="yes",1,0)</f>
        <v>0</v>
      </c>
      <c r="K703" t="str">
        <f>IF(G703&gt;15000,"High","Low")</f>
        <v>Low</v>
      </c>
    </row>
    <row r="704" spans="1:11" x14ac:dyDescent="0.35">
      <c r="A704">
        <v>53</v>
      </c>
      <c r="B704" t="s">
        <v>7</v>
      </c>
      <c r="C704">
        <v>41.47</v>
      </c>
      <c r="D704">
        <v>0</v>
      </c>
      <c r="E704" t="s">
        <v>4</v>
      </c>
      <c r="F704" t="s">
        <v>5</v>
      </c>
      <c r="G704" s="2">
        <v>9504.3102999999992</v>
      </c>
      <c r="H704" s="1" t="str">
        <f>IF(A704&lt;31,"18-30",IF(A704&lt;46,"31-45",IF(A704&lt;61,"46-60","60+")))</f>
        <v>46-60</v>
      </c>
      <c r="I704" t="str">
        <f>IF(C704&lt;18.5,"Underweight",IF(C704&lt;25,"Normal",IF(C704&lt;30,"Overweight","Obese")))</f>
        <v>Obese</v>
      </c>
      <c r="J704">
        <f>IF(E704="yes",1,0)</f>
        <v>0</v>
      </c>
      <c r="K704" t="str">
        <f>IF(G704&gt;15000,"High","Low")</f>
        <v>Low</v>
      </c>
    </row>
    <row r="705" spans="1:11" x14ac:dyDescent="0.35">
      <c r="A705">
        <v>34</v>
      </c>
      <c r="B705" t="s">
        <v>2</v>
      </c>
      <c r="C705">
        <v>26.41</v>
      </c>
      <c r="D705">
        <v>1</v>
      </c>
      <c r="E705" t="s">
        <v>4</v>
      </c>
      <c r="F705" t="s">
        <v>0</v>
      </c>
      <c r="G705" s="2">
        <v>5385.3379000000004</v>
      </c>
      <c r="H705" s="1" t="str">
        <f>IF(A705&lt;31,"18-30",IF(A705&lt;46,"31-45",IF(A705&lt;61,"46-60","60+")))</f>
        <v>31-45</v>
      </c>
      <c r="I705" t="str">
        <f>IF(C705&lt;18.5,"Underweight",IF(C705&lt;25,"Normal",IF(C705&lt;30,"Overweight","Obese")))</f>
        <v>Overweight</v>
      </c>
      <c r="J705">
        <f>IF(E705="yes",1,0)</f>
        <v>0</v>
      </c>
      <c r="K705" t="str">
        <f>IF(G705&gt;15000,"High","Low")</f>
        <v>Low</v>
      </c>
    </row>
    <row r="706" spans="1:11" x14ac:dyDescent="0.35">
      <c r="A706">
        <v>47</v>
      </c>
      <c r="B706" t="s">
        <v>2</v>
      </c>
      <c r="C706">
        <v>29.545000000000002</v>
      </c>
      <c r="D706">
        <v>1</v>
      </c>
      <c r="E706" t="s">
        <v>4</v>
      </c>
      <c r="F706" t="s">
        <v>0</v>
      </c>
      <c r="G706" s="2">
        <v>8930.9345499999999</v>
      </c>
      <c r="H706" s="1" t="str">
        <f>IF(A706&lt;31,"18-30",IF(A706&lt;46,"31-45",IF(A706&lt;61,"46-60","60+")))</f>
        <v>46-60</v>
      </c>
      <c r="I706" t="str">
        <f>IF(C706&lt;18.5,"Underweight",IF(C706&lt;25,"Normal",IF(C706&lt;30,"Overweight","Obese")))</f>
        <v>Overweight</v>
      </c>
      <c r="J706">
        <f>IF(E706="yes",1,0)</f>
        <v>0</v>
      </c>
      <c r="K706" t="str">
        <f>IF(G706&gt;15000,"High","Low")</f>
        <v>Low</v>
      </c>
    </row>
    <row r="707" spans="1:11" x14ac:dyDescent="0.35">
      <c r="A707">
        <v>33</v>
      </c>
      <c r="B707" t="s">
        <v>2</v>
      </c>
      <c r="C707">
        <v>32.9</v>
      </c>
      <c r="D707">
        <v>2</v>
      </c>
      <c r="E707" t="s">
        <v>4</v>
      </c>
      <c r="F707" t="s">
        <v>3</v>
      </c>
      <c r="G707" s="2">
        <v>5375.0379999999996</v>
      </c>
      <c r="H707" s="1" t="str">
        <f>IF(A707&lt;31,"18-30",IF(A707&lt;46,"31-45",IF(A707&lt;61,"46-60","60+")))</f>
        <v>31-45</v>
      </c>
      <c r="I707" t="str">
        <f>IF(C707&lt;18.5,"Underweight",IF(C707&lt;25,"Normal",IF(C707&lt;30,"Overweight","Obese")))</f>
        <v>Obese</v>
      </c>
      <c r="J707">
        <f>IF(E707="yes",1,0)</f>
        <v>0</v>
      </c>
      <c r="K707" t="str">
        <f>IF(G707&gt;15000,"High","Low")</f>
        <v>Low</v>
      </c>
    </row>
    <row r="708" spans="1:11" x14ac:dyDescent="0.35">
      <c r="A708">
        <v>51</v>
      </c>
      <c r="B708" t="s">
        <v>2</v>
      </c>
      <c r="C708">
        <v>38.06</v>
      </c>
      <c r="D708">
        <v>0</v>
      </c>
      <c r="E708" t="s">
        <v>1</v>
      </c>
      <c r="F708" t="s">
        <v>5</v>
      </c>
      <c r="G708" s="2">
        <v>44400.4064</v>
      </c>
      <c r="H708" s="1" t="str">
        <f>IF(A708&lt;31,"18-30",IF(A708&lt;46,"31-45",IF(A708&lt;61,"46-60","60+")))</f>
        <v>46-60</v>
      </c>
      <c r="I708" t="str">
        <f>IF(C708&lt;18.5,"Underweight",IF(C708&lt;25,"Normal",IF(C708&lt;30,"Overweight","Obese")))</f>
        <v>Obese</v>
      </c>
      <c r="J708">
        <f>IF(E708="yes",1,0)</f>
        <v>1</v>
      </c>
      <c r="K708" t="str">
        <f>IF(G708&gt;15000,"High","Low")</f>
        <v>High</v>
      </c>
    </row>
    <row r="709" spans="1:11" x14ac:dyDescent="0.35">
      <c r="A709">
        <v>49</v>
      </c>
      <c r="B709" t="s">
        <v>7</v>
      </c>
      <c r="C709">
        <v>28.69</v>
      </c>
      <c r="D709">
        <v>3</v>
      </c>
      <c r="E709" t="s">
        <v>4</v>
      </c>
      <c r="F709" t="s">
        <v>0</v>
      </c>
      <c r="G709" s="2">
        <v>10264.4421</v>
      </c>
      <c r="H709" s="1" t="str">
        <f>IF(A709&lt;31,"18-30",IF(A709&lt;46,"31-45",IF(A709&lt;61,"46-60","60+")))</f>
        <v>46-60</v>
      </c>
      <c r="I709" t="str">
        <f>IF(C709&lt;18.5,"Underweight",IF(C709&lt;25,"Normal",IF(C709&lt;30,"Overweight","Obese")))</f>
        <v>Overweight</v>
      </c>
      <c r="J709">
        <f>IF(E709="yes",1,0)</f>
        <v>0</v>
      </c>
      <c r="K709" t="str">
        <f>IF(G709&gt;15000,"High","Low")</f>
        <v>Low</v>
      </c>
    </row>
    <row r="710" spans="1:11" x14ac:dyDescent="0.35">
      <c r="A710">
        <v>31</v>
      </c>
      <c r="B710" t="s">
        <v>2</v>
      </c>
      <c r="C710">
        <v>30.495000000000001</v>
      </c>
      <c r="D710">
        <v>3</v>
      </c>
      <c r="E710" t="s">
        <v>4</v>
      </c>
      <c r="F710" t="s">
        <v>6</v>
      </c>
      <c r="G710" s="2">
        <v>6113.2310500000003</v>
      </c>
      <c r="H710" s="1" t="str">
        <f>IF(A710&lt;31,"18-30",IF(A710&lt;46,"31-45",IF(A710&lt;61,"46-60","60+")))</f>
        <v>31-45</v>
      </c>
      <c r="I710" t="str">
        <f>IF(C710&lt;18.5,"Underweight",IF(C710&lt;25,"Normal",IF(C710&lt;30,"Overweight","Obese")))</f>
        <v>Obese</v>
      </c>
      <c r="J710">
        <f>IF(E710="yes",1,0)</f>
        <v>0</v>
      </c>
      <c r="K710" t="str">
        <f>IF(G710&gt;15000,"High","Low")</f>
        <v>Low</v>
      </c>
    </row>
    <row r="711" spans="1:11" x14ac:dyDescent="0.35">
      <c r="A711">
        <v>36</v>
      </c>
      <c r="B711" t="s">
        <v>2</v>
      </c>
      <c r="C711">
        <v>27.74</v>
      </c>
      <c r="D711">
        <v>0</v>
      </c>
      <c r="E711" t="s">
        <v>4</v>
      </c>
      <c r="F711" t="s">
        <v>6</v>
      </c>
      <c r="G711" s="2">
        <v>5469.0065999999997</v>
      </c>
      <c r="H711" s="1" t="str">
        <f>IF(A711&lt;31,"18-30",IF(A711&lt;46,"31-45",IF(A711&lt;61,"46-60","60+")))</f>
        <v>31-45</v>
      </c>
      <c r="I711" t="str">
        <f>IF(C711&lt;18.5,"Underweight",IF(C711&lt;25,"Normal",IF(C711&lt;30,"Overweight","Obese")))</f>
        <v>Overweight</v>
      </c>
      <c r="J711">
        <f>IF(E711="yes",1,0)</f>
        <v>0</v>
      </c>
      <c r="K711" t="str">
        <f>IF(G711&gt;15000,"High","Low")</f>
        <v>Low</v>
      </c>
    </row>
    <row r="712" spans="1:11" x14ac:dyDescent="0.35">
      <c r="A712">
        <v>18</v>
      </c>
      <c r="B712" t="s">
        <v>7</v>
      </c>
      <c r="C712">
        <v>35.200000000000003</v>
      </c>
      <c r="D712">
        <v>1</v>
      </c>
      <c r="E712" t="s">
        <v>4</v>
      </c>
      <c r="F712" t="s">
        <v>5</v>
      </c>
      <c r="G712" s="2">
        <v>1727.54</v>
      </c>
      <c r="H712" s="1" t="str">
        <f>IF(A712&lt;31,"18-30",IF(A712&lt;46,"31-45",IF(A712&lt;61,"46-60","60+")))</f>
        <v>18-30</v>
      </c>
      <c r="I712" t="str">
        <f>IF(C712&lt;18.5,"Underweight",IF(C712&lt;25,"Normal",IF(C712&lt;30,"Overweight","Obese")))</f>
        <v>Obese</v>
      </c>
      <c r="J712">
        <f>IF(E712="yes",1,0)</f>
        <v>0</v>
      </c>
      <c r="K712" t="str">
        <f>IF(G712&gt;15000,"High","Low")</f>
        <v>Low</v>
      </c>
    </row>
    <row r="713" spans="1:11" x14ac:dyDescent="0.35">
      <c r="A713">
        <v>50</v>
      </c>
      <c r="B713" t="s">
        <v>2</v>
      </c>
      <c r="C713">
        <v>23.54</v>
      </c>
      <c r="D713">
        <v>2</v>
      </c>
      <c r="E713" t="s">
        <v>4</v>
      </c>
      <c r="F713" t="s">
        <v>5</v>
      </c>
      <c r="G713" s="2">
        <v>10107.220600000001</v>
      </c>
      <c r="H713" s="1" t="str">
        <f>IF(A713&lt;31,"18-30",IF(A713&lt;46,"31-45",IF(A713&lt;61,"46-60","60+")))</f>
        <v>46-60</v>
      </c>
      <c r="I713" t="str">
        <f>IF(C713&lt;18.5,"Underweight",IF(C713&lt;25,"Normal",IF(C713&lt;30,"Overweight","Obese")))</f>
        <v>Normal</v>
      </c>
      <c r="J713">
        <f>IF(E713="yes",1,0)</f>
        <v>0</v>
      </c>
      <c r="K713" t="str">
        <f>IF(G713&gt;15000,"High","Low")</f>
        <v>Low</v>
      </c>
    </row>
    <row r="714" spans="1:11" x14ac:dyDescent="0.35">
      <c r="A714">
        <v>43</v>
      </c>
      <c r="B714" t="s">
        <v>2</v>
      </c>
      <c r="C714">
        <v>30.684999999999999</v>
      </c>
      <c r="D714">
        <v>2</v>
      </c>
      <c r="E714" t="s">
        <v>4</v>
      </c>
      <c r="F714" t="s">
        <v>0</v>
      </c>
      <c r="G714" s="2">
        <v>8310.8391499999998</v>
      </c>
      <c r="H714" s="1" t="str">
        <f>IF(A714&lt;31,"18-30",IF(A714&lt;46,"31-45",IF(A714&lt;61,"46-60","60+")))</f>
        <v>31-45</v>
      </c>
      <c r="I714" t="str">
        <f>IF(C714&lt;18.5,"Underweight",IF(C714&lt;25,"Normal",IF(C714&lt;30,"Overweight","Obese")))</f>
        <v>Obese</v>
      </c>
      <c r="J714">
        <f>IF(E714="yes",1,0)</f>
        <v>0</v>
      </c>
      <c r="K714" t="str">
        <f>IF(G714&gt;15000,"High","Low")</f>
        <v>Low</v>
      </c>
    </row>
    <row r="715" spans="1:11" x14ac:dyDescent="0.35">
      <c r="A715">
        <v>20</v>
      </c>
      <c r="B715" t="s">
        <v>7</v>
      </c>
      <c r="C715">
        <v>40.47</v>
      </c>
      <c r="D715">
        <v>0</v>
      </c>
      <c r="E715" t="s">
        <v>4</v>
      </c>
      <c r="F715" t="s">
        <v>6</v>
      </c>
      <c r="G715" s="2">
        <v>1984.4532999999999</v>
      </c>
      <c r="H715" s="1" t="str">
        <f>IF(A715&lt;31,"18-30",IF(A715&lt;46,"31-45",IF(A715&lt;61,"46-60","60+")))</f>
        <v>18-30</v>
      </c>
      <c r="I715" t="str">
        <f>IF(C715&lt;18.5,"Underweight",IF(C715&lt;25,"Normal",IF(C715&lt;30,"Overweight","Obese")))</f>
        <v>Obese</v>
      </c>
      <c r="J715">
        <f>IF(E715="yes",1,0)</f>
        <v>0</v>
      </c>
      <c r="K715" t="str">
        <f>IF(G715&gt;15000,"High","Low")</f>
        <v>Low</v>
      </c>
    </row>
    <row r="716" spans="1:11" x14ac:dyDescent="0.35">
      <c r="A716">
        <v>24</v>
      </c>
      <c r="B716" t="s">
        <v>2</v>
      </c>
      <c r="C716">
        <v>22.6</v>
      </c>
      <c r="D716">
        <v>0</v>
      </c>
      <c r="E716" t="s">
        <v>4</v>
      </c>
      <c r="F716" t="s">
        <v>3</v>
      </c>
      <c r="G716" s="2">
        <v>2457.502</v>
      </c>
      <c r="H716" s="1" t="str">
        <f>IF(A716&lt;31,"18-30",IF(A716&lt;46,"31-45",IF(A716&lt;61,"46-60","60+")))</f>
        <v>18-30</v>
      </c>
      <c r="I716" t="str">
        <f>IF(C716&lt;18.5,"Underweight",IF(C716&lt;25,"Normal",IF(C716&lt;30,"Overweight","Obese")))</f>
        <v>Normal</v>
      </c>
      <c r="J716">
        <f>IF(E716="yes",1,0)</f>
        <v>0</v>
      </c>
      <c r="K716" t="str">
        <f>IF(G716&gt;15000,"High","Low")</f>
        <v>Low</v>
      </c>
    </row>
    <row r="717" spans="1:11" x14ac:dyDescent="0.35">
      <c r="A717">
        <v>60</v>
      </c>
      <c r="B717" t="s">
        <v>7</v>
      </c>
      <c r="C717">
        <v>28.9</v>
      </c>
      <c r="D717">
        <v>0</v>
      </c>
      <c r="E717" t="s">
        <v>4</v>
      </c>
      <c r="F717" t="s">
        <v>3</v>
      </c>
      <c r="G717" s="2">
        <v>12146.971</v>
      </c>
      <c r="H717" s="1" t="str">
        <f>IF(A717&lt;31,"18-30",IF(A717&lt;46,"31-45",IF(A717&lt;61,"46-60","60+")))</f>
        <v>46-60</v>
      </c>
      <c r="I717" t="str">
        <f>IF(C717&lt;18.5,"Underweight",IF(C717&lt;25,"Normal",IF(C717&lt;30,"Overweight","Obese")))</f>
        <v>Overweight</v>
      </c>
      <c r="J717">
        <f>IF(E717="yes",1,0)</f>
        <v>0</v>
      </c>
      <c r="K717" t="str">
        <f>IF(G717&gt;15000,"High","Low")</f>
        <v>Low</v>
      </c>
    </row>
    <row r="718" spans="1:11" x14ac:dyDescent="0.35">
      <c r="A718">
        <v>49</v>
      </c>
      <c r="B718" t="s">
        <v>2</v>
      </c>
      <c r="C718">
        <v>22.61</v>
      </c>
      <c r="D718">
        <v>1</v>
      </c>
      <c r="E718" t="s">
        <v>4</v>
      </c>
      <c r="F718" t="s">
        <v>0</v>
      </c>
      <c r="G718" s="2">
        <v>9566.9909000000007</v>
      </c>
      <c r="H718" s="1" t="str">
        <f>IF(A718&lt;31,"18-30",IF(A718&lt;46,"31-45",IF(A718&lt;61,"46-60","60+")))</f>
        <v>46-60</v>
      </c>
      <c r="I718" t="str">
        <f>IF(C718&lt;18.5,"Underweight",IF(C718&lt;25,"Normal",IF(C718&lt;30,"Overweight","Obese")))</f>
        <v>Normal</v>
      </c>
      <c r="J718">
        <f>IF(E718="yes",1,0)</f>
        <v>0</v>
      </c>
      <c r="K718" t="str">
        <f>IF(G718&gt;15000,"High","Low")</f>
        <v>Low</v>
      </c>
    </row>
    <row r="719" spans="1:11" x14ac:dyDescent="0.35">
      <c r="A719">
        <v>60</v>
      </c>
      <c r="B719" t="s">
        <v>7</v>
      </c>
      <c r="C719">
        <v>24.32</v>
      </c>
      <c r="D719">
        <v>1</v>
      </c>
      <c r="E719" t="s">
        <v>4</v>
      </c>
      <c r="F719" t="s">
        <v>0</v>
      </c>
      <c r="G719" s="2">
        <v>13112.604799999999</v>
      </c>
      <c r="H719" s="1" t="str">
        <f>IF(A719&lt;31,"18-30",IF(A719&lt;46,"31-45",IF(A719&lt;61,"46-60","60+")))</f>
        <v>46-60</v>
      </c>
      <c r="I719" t="str">
        <f>IF(C719&lt;18.5,"Underweight",IF(C719&lt;25,"Normal",IF(C719&lt;30,"Overweight","Obese")))</f>
        <v>Normal</v>
      </c>
      <c r="J719">
        <f>IF(E719="yes",1,0)</f>
        <v>0</v>
      </c>
      <c r="K719" t="str">
        <f>IF(G719&gt;15000,"High","Low")</f>
        <v>Low</v>
      </c>
    </row>
    <row r="720" spans="1:11" x14ac:dyDescent="0.35">
      <c r="A720">
        <v>51</v>
      </c>
      <c r="B720" t="s">
        <v>2</v>
      </c>
      <c r="C720">
        <v>36.67</v>
      </c>
      <c r="D720">
        <v>2</v>
      </c>
      <c r="E720" t="s">
        <v>4</v>
      </c>
      <c r="F720" t="s">
        <v>0</v>
      </c>
      <c r="G720" s="2">
        <v>10848.1343</v>
      </c>
      <c r="H720" s="1" t="str">
        <f>IF(A720&lt;31,"18-30",IF(A720&lt;46,"31-45",IF(A720&lt;61,"46-60","60+")))</f>
        <v>46-60</v>
      </c>
      <c r="I720" t="str">
        <f>IF(C720&lt;18.5,"Underweight",IF(C720&lt;25,"Normal",IF(C720&lt;30,"Overweight","Obese")))</f>
        <v>Obese</v>
      </c>
      <c r="J720">
        <f>IF(E720="yes",1,0)</f>
        <v>0</v>
      </c>
      <c r="K720" t="str">
        <f>IF(G720&gt;15000,"High","Low")</f>
        <v>Low</v>
      </c>
    </row>
    <row r="721" spans="1:11" x14ac:dyDescent="0.35">
      <c r="A721">
        <v>58</v>
      </c>
      <c r="B721" t="s">
        <v>2</v>
      </c>
      <c r="C721">
        <v>33.44</v>
      </c>
      <c r="D721">
        <v>0</v>
      </c>
      <c r="E721" t="s">
        <v>4</v>
      </c>
      <c r="F721" t="s">
        <v>0</v>
      </c>
      <c r="G721" s="2">
        <v>12231.613600000001</v>
      </c>
      <c r="H721" s="1" t="str">
        <f>IF(A721&lt;31,"18-30",IF(A721&lt;46,"31-45",IF(A721&lt;61,"46-60","60+")))</f>
        <v>46-60</v>
      </c>
      <c r="I721" t="str">
        <f>IF(C721&lt;18.5,"Underweight",IF(C721&lt;25,"Normal",IF(C721&lt;30,"Overweight","Obese")))</f>
        <v>Obese</v>
      </c>
      <c r="J721">
        <f>IF(E721="yes",1,0)</f>
        <v>0</v>
      </c>
      <c r="K721" t="str">
        <f>IF(G721&gt;15000,"High","Low")</f>
        <v>Low</v>
      </c>
    </row>
    <row r="722" spans="1:11" x14ac:dyDescent="0.35">
      <c r="A722">
        <v>51</v>
      </c>
      <c r="B722" t="s">
        <v>2</v>
      </c>
      <c r="C722">
        <v>40.659999999999997</v>
      </c>
      <c r="D722">
        <v>0</v>
      </c>
      <c r="E722" t="s">
        <v>4</v>
      </c>
      <c r="F722" t="s">
        <v>6</v>
      </c>
      <c r="G722" s="2">
        <v>9875.6803999999993</v>
      </c>
      <c r="H722" s="1" t="str">
        <f>IF(A722&lt;31,"18-30",IF(A722&lt;46,"31-45",IF(A722&lt;61,"46-60","60+")))</f>
        <v>46-60</v>
      </c>
      <c r="I722" t="str">
        <f>IF(C722&lt;18.5,"Underweight",IF(C722&lt;25,"Normal",IF(C722&lt;30,"Overweight","Obese")))</f>
        <v>Obese</v>
      </c>
      <c r="J722">
        <f>IF(E722="yes",1,0)</f>
        <v>0</v>
      </c>
      <c r="K722" t="str">
        <f>IF(G722&gt;15000,"High","Low")</f>
        <v>Low</v>
      </c>
    </row>
    <row r="723" spans="1:11" x14ac:dyDescent="0.35">
      <c r="A723">
        <v>53</v>
      </c>
      <c r="B723" t="s">
        <v>7</v>
      </c>
      <c r="C723">
        <v>36.6</v>
      </c>
      <c r="D723">
        <v>3</v>
      </c>
      <c r="E723" t="s">
        <v>4</v>
      </c>
      <c r="F723" t="s">
        <v>3</v>
      </c>
      <c r="G723" s="2">
        <v>11264.540999999999</v>
      </c>
      <c r="H723" s="1" t="str">
        <f>IF(A723&lt;31,"18-30",IF(A723&lt;46,"31-45",IF(A723&lt;61,"46-60","60+")))</f>
        <v>46-60</v>
      </c>
      <c r="I723" t="str">
        <f>IF(C723&lt;18.5,"Underweight",IF(C723&lt;25,"Normal",IF(C723&lt;30,"Overweight","Obese")))</f>
        <v>Obese</v>
      </c>
      <c r="J723">
        <f>IF(E723="yes",1,0)</f>
        <v>0</v>
      </c>
      <c r="K723" t="str">
        <f>IF(G723&gt;15000,"High","Low")</f>
        <v>Low</v>
      </c>
    </row>
    <row r="724" spans="1:11" x14ac:dyDescent="0.35">
      <c r="A724">
        <v>62</v>
      </c>
      <c r="B724" t="s">
        <v>7</v>
      </c>
      <c r="C724">
        <v>37.4</v>
      </c>
      <c r="D724">
        <v>0</v>
      </c>
      <c r="E724" t="s">
        <v>4</v>
      </c>
      <c r="F724" t="s">
        <v>3</v>
      </c>
      <c r="G724" s="2">
        <v>12979.358</v>
      </c>
      <c r="H724" s="1" t="str">
        <f>IF(A724&lt;31,"18-30",IF(A724&lt;46,"31-45",IF(A724&lt;61,"46-60","60+")))</f>
        <v>60+</v>
      </c>
      <c r="I724" t="str">
        <f>IF(C724&lt;18.5,"Underweight",IF(C724&lt;25,"Normal",IF(C724&lt;30,"Overweight","Obese")))</f>
        <v>Obese</v>
      </c>
      <c r="J724">
        <f>IF(E724="yes",1,0)</f>
        <v>0</v>
      </c>
      <c r="K724" t="str">
        <f>IF(G724&gt;15000,"High","Low")</f>
        <v>Low</v>
      </c>
    </row>
    <row r="725" spans="1:11" x14ac:dyDescent="0.35">
      <c r="A725">
        <v>19</v>
      </c>
      <c r="B725" t="s">
        <v>7</v>
      </c>
      <c r="C725">
        <v>35.4</v>
      </c>
      <c r="D725">
        <v>0</v>
      </c>
      <c r="E725" t="s">
        <v>4</v>
      </c>
      <c r="F725" t="s">
        <v>3</v>
      </c>
      <c r="G725" s="2">
        <v>1263.249</v>
      </c>
      <c r="H725" s="1" t="str">
        <f>IF(A725&lt;31,"18-30",IF(A725&lt;46,"31-45",IF(A725&lt;61,"46-60","60+")))</f>
        <v>18-30</v>
      </c>
      <c r="I725" t="str">
        <f>IF(C725&lt;18.5,"Underweight",IF(C725&lt;25,"Normal",IF(C725&lt;30,"Overweight","Obese")))</f>
        <v>Obese</v>
      </c>
      <c r="J725">
        <f>IF(E725="yes",1,0)</f>
        <v>0</v>
      </c>
      <c r="K725" t="str">
        <f>IF(G725&gt;15000,"High","Low")</f>
        <v>Low</v>
      </c>
    </row>
    <row r="726" spans="1:11" x14ac:dyDescent="0.35">
      <c r="A726">
        <v>50</v>
      </c>
      <c r="B726" t="s">
        <v>2</v>
      </c>
      <c r="C726">
        <v>27.074999999999999</v>
      </c>
      <c r="D726">
        <v>1</v>
      </c>
      <c r="E726" t="s">
        <v>4</v>
      </c>
      <c r="F726" t="s">
        <v>6</v>
      </c>
      <c r="G726" s="2">
        <v>10106.134249999999</v>
      </c>
      <c r="H726" s="1" t="str">
        <f>IF(A726&lt;31,"18-30",IF(A726&lt;46,"31-45",IF(A726&lt;61,"46-60","60+")))</f>
        <v>46-60</v>
      </c>
      <c r="I726" t="str">
        <f>IF(C726&lt;18.5,"Underweight",IF(C726&lt;25,"Normal",IF(C726&lt;30,"Overweight","Obese")))</f>
        <v>Overweight</v>
      </c>
      <c r="J726">
        <f>IF(E726="yes",1,0)</f>
        <v>0</v>
      </c>
      <c r="K726" t="str">
        <f>IF(G726&gt;15000,"High","Low")</f>
        <v>Low</v>
      </c>
    </row>
    <row r="727" spans="1:11" x14ac:dyDescent="0.35">
      <c r="A727">
        <v>30</v>
      </c>
      <c r="B727" t="s">
        <v>2</v>
      </c>
      <c r="C727">
        <v>39.049999999999997</v>
      </c>
      <c r="D727">
        <v>3</v>
      </c>
      <c r="E727" t="s">
        <v>1</v>
      </c>
      <c r="F727" t="s">
        <v>5</v>
      </c>
      <c r="G727" s="2">
        <v>40932.429499999998</v>
      </c>
      <c r="H727" s="1" t="str">
        <f>IF(A727&lt;31,"18-30",IF(A727&lt;46,"31-45",IF(A727&lt;61,"46-60","60+")))</f>
        <v>18-30</v>
      </c>
      <c r="I727" t="str">
        <f>IF(C727&lt;18.5,"Underweight",IF(C727&lt;25,"Normal",IF(C727&lt;30,"Overweight","Obese")))</f>
        <v>Obese</v>
      </c>
      <c r="J727">
        <f>IF(E727="yes",1,0)</f>
        <v>1</v>
      </c>
      <c r="K727" t="str">
        <f>IF(G727&gt;15000,"High","Low")</f>
        <v>High</v>
      </c>
    </row>
    <row r="728" spans="1:11" x14ac:dyDescent="0.35">
      <c r="A728">
        <v>41</v>
      </c>
      <c r="B728" t="s">
        <v>7</v>
      </c>
      <c r="C728">
        <v>28.405000000000001</v>
      </c>
      <c r="D728">
        <v>1</v>
      </c>
      <c r="E728" t="s">
        <v>4</v>
      </c>
      <c r="F728" t="s">
        <v>0</v>
      </c>
      <c r="G728" s="2">
        <v>6664.68595</v>
      </c>
      <c r="H728" s="1" t="str">
        <f>IF(A728&lt;31,"18-30",IF(A728&lt;46,"31-45",IF(A728&lt;61,"46-60","60+")))</f>
        <v>31-45</v>
      </c>
      <c r="I728" t="str">
        <f>IF(C728&lt;18.5,"Underweight",IF(C728&lt;25,"Normal",IF(C728&lt;30,"Overweight","Obese")))</f>
        <v>Overweight</v>
      </c>
      <c r="J728">
        <f>IF(E728="yes",1,0)</f>
        <v>0</v>
      </c>
      <c r="K728" t="str">
        <f>IF(G728&gt;15000,"High","Low")</f>
        <v>Low</v>
      </c>
    </row>
    <row r="729" spans="1:11" x14ac:dyDescent="0.35">
      <c r="A729">
        <v>29</v>
      </c>
      <c r="B729" t="s">
        <v>2</v>
      </c>
      <c r="C729">
        <v>21.754999999999999</v>
      </c>
      <c r="D729">
        <v>1</v>
      </c>
      <c r="E729" t="s">
        <v>1</v>
      </c>
      <c r="F729" t="s">
        <v>6</v>
      </c>
      <c r="G729" s="2">
        <v>16657.71745</v>
      </c>
      <c r="H729" s="1" t="str">
        <f>IF(A729&lt;31,"18-30",IF(A729&lt;46,"31-45",IF(A729&lt;61,"46-60","60+")))</f>
        <v>18-30</v>
      </c>
      <c r="I729" t="str">
        <f>IF(C729&lt;18.5,"Underweight",IF(C729&lt;25,"Normal",IF(C729&lt;30,"Overweight","Obese")))</f>
        <v>Normal</v>
      </c>
      <c r="J729">
        <f>IF(E729="yes",1,0)</f>
        <v>1</v>
      </c>
      <c r="K729" t="str">
        <f>IF(G729&gt;15000,"High","Low")</f>
        <v>High</v>
      </c>
    </row>
    <row r="730" spans="1:11" x14ac:dyDescent="0.35">
      <c r="A730">
        <v>18</v>
      </c>
      <c r="B730" t="s">
        <v>2</v>
      </c>
      <c r="C730">
        <v>40.28</v>
      </c>
      <c r="D730">
        <v>0</v>
      </c>
      <c r="E730" t="s">
        <v>4</v>
      </c>
      <c r="F730" t="s">
        <v>6</v>
      </c>
      <c r="G730" s="2">
        <v>2217.6012000000001</v>
      </c>
      <c r="H730" s="1" t="str">
        <f>IF(A730&lt;31,"18-30",IF(A730&lt;46,"31-45",IF(A730&lt;61,"46-60","60+")))</f>
        <v>18-30</v>
      </c>
      <c r="I730" t="str">
        <f>IF(C730&lt;18.5,"Underweight",IF(C730&lt;25,"Normal",IF(C730&lt;30,"Overweight","Obese")))</f>
        <v>Obese</v>
      </c>
      <c r="J730">
        <f>IF(E730="yes",1,0)</f>
        <v>0</v>
      </c>
      <c r="K730" t="str">
        <f>IF(G730&gt;15000,"High","Low")</f>
        <v>Low</v>
      </c>
    </row>
    <row r="731" spans="1:11" x14ac:dyDescent="0.35">
      <c r="A731">
        <v>41</v>
      </c>
      <c r="B731" t="s">
        <v>2</v>
      </c>
      <c r="C731">
        <v>36.08</v>
      </c>
      <c r="D731">
        <v>1</v>
      </c>
      <c r="E731" t="s">
        <v>4</v>
      </c>
      <c r="F731" t="s">
        <v>5</v>
      </c>
      <c r="G731" s="2">
        <v>6781.3541999999998</v>
      </c>
      <c r="H731" s="1" t="str">
        <f>IF(A731&lt;31,"18-30",IF(A731&lt;46,"31-45",IF(A731&lt;61,"46-60","60+")))</f>
        <v>31-45</v>
      </c>
      <c r="I731" t="str">
        <f>IF(C731&lt;18.5,"Underweight",IF(C731&lt;25,"Normal",IF(C731&lt;30,"Overweight","Obese")))</f>
        <v>Obese</v>
      </c>
      <c r="J731">
        <f>IF(E731="yes",1,0)</f>
        <v>0</v>
      </c>
      <c r="K731" t="str">
        <f>IF(G731&gt;15000,"High","Low")</f>
        <v>Low</v>
      </c>
    </row>
    <row r="732" spans="1:11" x14ac:dyDescent="0.35">
      <c r="A732">
        <v>35</v>
      </c>
      <c r="B732" t="s">
        <v>7</v>
      </c>
      <c r="C732">
        <v>24.42</v>
      </c>
      <c r="D732">
        <v>3</v>
      </c>
      <c r="E732" t="s">
        <v>1</v>
      </c>
      <c r="F732" t="s">
        <v>5</v>
      </c>
      <c r="G732" s="2">
        <v>19361.998800000001</v>
      </c>
      <c r="H732" s="1" t="str">
        <f>IF(A732&lt;31,"18-30",IF(A732&lt;46,"31-45",IF(A732&lt;61,"46-60","60+")))</f>
        <v>31-45</v>
      </c>
      <c r="I732" t="str">
        <f>IF(C732&lt;18.5,"Underweight",IF(C732&lt;25,"Normal",IF(C732&lt;30,"Overweight","Obese")))</f>
        <v>Normal</v>
      </c>
      <c r="J732">
        <f>IF(E732="yes",1,0)</f>
        <v>1</v>
      </c>
      <c r="K732" t="str">
        <f>IF(G732&gt;15000,"High","Low")</f>
        <v>High</v>
      </c>
    </row>
    <row r="733" spans="1:11" x14ac:dyDescent="0.35">
      <c r="A733">
        <v>53</v>
      </c>
      <c r="B733" t="s">
        <v>7</v>
      </c>
      <c r="C733">
        <v>21.4</v>
      </c>
      <c r="D733">
        <v>1</v>
      </c>
      <c r="E733" t="s">
        <v>4</v>
      </c>
      <c r="F733" t="s">
        <v>3</v>
      </c>
      <c r="G733" s="2">
        <v>10065.413</v>
      </c>
      <c r="H733" s="1" t="str">
        <f>IF(A733&lt;31,"18-30",IF(A733&lt;46,"31-45",IF(A733&lt;61,"46-60","60+")))</f>
        <v>46-60</v>
      </c>
      <c r="I733" t="str">
        <f>IF(C733&lt;18.5,"Underweight",IF(C733&lt;25,"Normal",IF(C733&lt;30,"Overweight","Obese")))</f>
        <v>Normal</v>
      </c>
      <c r="J733">
        <f>IF(E733="yes",1,0)</f>
        <v>0</v>
      </c>
      <c r="K733" t="str">
        <f>IF(G733&gt;15000,"High","Low")</f>
        <v>Low</v>
      </c>
    </row>
    <row r="734" spans="1:11" x14ac:dyDescent="0.35">
      <c r="A734">
        <v>24</v>
      </c>
      <c r="B734" t="s">
        <v>2</v>
      </c>
      <c r="C734">
        <v>30.1</v>
      </c>
      <c r="D734">
        <v>3</v>
      </c>
      <c r="E734" t="s">
        <v>4</v>
      </c>
      <c r="F734" t="s">
        <v>3</v>
      </c>
      <c r="G734" s="2">
        <v>4234.9269999999997</v>
      </c>
      <c r="H734" s="1" t="str">
        <f>IF(A734&lt;31,"18-30",IF(A734&lt;46,"31-45",IF(A734&lt;61,"46-60","60+")))</f>
        <v>18-30</v>
      </c>
      <c r="I734" t="str">
        <f>IF(C734&lt;18.5,"Underweight",IF(C734&lt;25,"Normal",IF(C734&lt;30,"Overweight","Obese")))</f>
        <v>Obese</v>
      </c>
      <c r="J734">
        <f>IF(E734="yes",1,0)</f>
        <v>0</v>
      </c>
      <c r="K734" t="str">
        <f>IF(G734&gt;15000,"High","Low")</f>
        <v>Low</v>
      </c>
    </row>
    <row r="735" spans="1:11" x14ac:dyDescent="0.35">
      <c r="A735">
        <v>48</v>
      </c>
      <c r="B735" t="s">
        <v>2</v>
      </c>
      <c r="C735">
        <v>27.265000000000001</v>
      </c>
      <c r="D735">
        <v>1</v>
      </c>
      <c r="E735" t="s">
        <v>4</v>
      </c>
      <c r="F735" t="s">
        <v>6</v>
      </c>
      <c r="G735" s="2">
        <v>9447.2503500000003</v>
      </c>
      <c r="H735" s="1" t="str">
        <f>IF(A735&lt;31,"18-30",IF(A735&lt;46,"31-45",IF(A735&lt;61,"46-60","60+")))</f>
        <v>46-60</v>
      </c>
      <c r="I735" t="str">
        <f>IF(C735&lt;18.5,"Underweight",IF(C735&lt;25,"Normal",IF(C735&lt;30,"Overweight","Obese")))</f>
        <v>Overweight</v>
      </c>
      <c r="J735">
        <f>IF(E735="yes",1,0)</f>
        <v>0</v>
      </c>
      <c r="K735" t="str">
        <f>IF(G735&gt;15000,"High","Low")</f>
        <v>Low</v>
      </c>
    </row>
    <row r="736" spans="1:11" x14ac:dyDescent="0.35">
      <c r="A736">
        <v>59</v>
      </c>
      <c r="B736" t="s">
        <v>2</v>
      </c>
      <c r="C736">
        <v>32.1</v>
      </c>
      <c r="D736">
        <v>3</v>
      </c>
      <c r="E736" t="s">
        <v>4</v>
      </c>
      <c r="F736" t="s">
        <v>3</v>
      </c>
      <c r="G736" s="2">
        <v>14007.222</v>
      </c>
      <c r="H736" s="1" t="str">
        <f>IF(A736&lt;31,"18-30",IF(A736&lt;46,"31-45",IF(A736&lt;61,"46-60","60+")))</f>
        <v>46-60</v>
      </c>
      <c r="I736" t="str">
        <f>IF(C736&lt;18.5,"Underweight",IF(C736&lt;25,"Normal",IF(C736&lt;30,"Overweight","Obese")))</f>
        <v>Obese</v>
      </c>
      <c r="J736">
        <f>IF(E736="yes",1,0)</f>
        <v>0</v>
      </c>
      <c r="K736" t="str">
        <f>IF(G736&gt;15000,"High","Low")</f>
        <v>Low</v>
      </c>
    </row>
    <row r="737" spans="1:11" x14ac:dyDescent="0.35">
      <c r="A737">
        <v>49</v>
      </c>
      <c r="B737" t="s">
        <v>2</v>
      </c>
      <c r="C737">
        <v>34.770000000000003</v>
      </c>
      <c r="D737">
        <v>1</v>
      </c>
      <c r="E737" t="s">
        <v>4</v>
      </c>
      <c r="F737" t="s">
        <v>0</v>
      </c>
      <c r="G737" s="2">
        <v>9583.8932999999997</v>
      </c>
      <c r="H737" s="1" t="str">
        <f>IF(A737&lt;31,"18-30",IF(A737&lt;46,"31-45",IF(A737&lt;61,"46-60","60+")))</f>
        <v>46-60</v>
      </c>
      <c r="I737" t="str">
        <f>IF(C737&lt;18.5,"Underweight",IF(C737&lt;25,"Normal",IF(C737&lt;30,"Overweight","Obese")))</f>
        <v>Obese</v>
      </c>
      <c r="J737">
        <f>IF(E737="yes",1,0)</f>
        <v>0</v>
      </c>
      <c r="K737" t="str">
        <f>IF(G737&gt;15000,"High","Low")</f>
        <v>Low</v>
      </c>
    </row>
    <row r="738" spans="1:11" x14ac:dyDescent="0.35">
      <c r="A738">
        <v>37</v>
      </c>
      <c r="B738" t="s">
        <v>2</v>
      </c>
      <c r="C738">
        <v>38.39</v>
      </c>
      <c r="D738">
        <v>0</v>
      </c>
      <c r="E738" t="s">
        <v>1</v>
      </c>
      <c r="F738" t="s">
        <v>5</v>
      </c>
      <c r="G738" s="2">
        <v>40419.019099999998</v>
      </c>
      <c r="H738" s="1" t="str">
        <f>IF(A738&lt;31,"18-30",IF(A738&lt;46,"31-45",IF(A738&lt;61,"46-60","60+")))</f>
        <v>31-45</v>
      </c>
      <c r="I738" t="str">
        <f>IF(C738&lt;18.5,"Underweight",IF(C738&lt;25,"Normal",IF(C738&lt;30,"Overweight","Obese")))</f>
        <v>Obese</v>
      </c>
      <c r="J738">
        <f>IF(E738="yes",1,0)</f>
        <v>1</v>
      </c>
      <c r="K738" t="str">
        <f>IF(G738&gt;15000,"High","Low")</f>
        <v>High</v>
      </c>
    </row>
    <row r="739" spans="1:11" x14ac:dyDescent="0.35">
      <c r="A739">
        <v>26</v>
      </c>
      <c r="B739" t="s">
        <v>7</v>
      </c>
      <c r="C739">
        <v>23.7</v>
      </c>
      <c r="D739">
        <v>2</v>
      </c>
      <c r="E739" t="s">
        <v>4</v>
      </c>
      <c r="F739" t="s">
        <v>3</v>
      </c>
      <c r="G739" s="2">
        <v>3484.3310000000001</v>
      </c>
      <c r="H739" s="1" t="str">
        <f>IF(A739&lt;31,"18-30",IF(A739&lt;46,"31-45",IF(A739&lt;61,"46-60","60+")))</f>
        <v>18-30</v>
      </c>
      <c r="I739" t="str">
        <f>IF(C739&lt;18.5,"Underweight",IF(C739&lt;25,"Normal",IF(C739&lt;30,"Overweight","Obese")))</f>
        <v>Normal</v>
      </c>
      <c r="J739">
        <f>IF(E739="yes",1,0)</f>
        <v>0</v>
      </c>
      <c r="K739" t="str">
        <f>IF(G739&gt;15000,"High","Low")</f>
        <v>Low</v>
      </c>
    </row>
    <row r="740" spans="1:11" x14ac:dyDescent="0.35">
      <c r="A740">
        <v>23</v>
      </c>
      <c r="B740" t="s">
        <v>7</v>
      </c>
      <c r="C740">
        <v>31.73</v>
      </c>
      <c r="D740">
        <v>3</v>
      </c>
      <c r="E740" t="s">
        <v>1</v>
      </c>
      <c r="F740" t="s">
        <v>6</v>
      </c>
      <c r="G740" s="2">
        <v>36189.101699999999</v>
      </c>
      <c r="H740" s="1" t="str">
        <f>IF(A740&lt;31,"18-30",IF(A740&lt;46,"31-45",IF(A740&lt;61,"46-60","60+")))</f>
        <v>18-30</v>
      </c>
      <c r="I740" t="str">
        <f>IF(C740&lt;18.5,"Underweight",IF(C740&lt;25,"Normal",IF(C740&lt;30,"Overweight","Obese")))</f>
        <v>Obese</v>
      </c>
      <c r="J740">
        <f>IF(E740="yes",1,0)</f>
        <v>1</v>
      </c>
      <c r="K740" t="str">
        <f>IF(G740&gt;15000,"High","Low")</f>
        <v>High</v>
      </c>
    </row>
    <row r="741" spans="1:11" x14ac:dyDescent="0.35">
      <c r="A741">
        <v>29</v>
      </c>
      <c r="B741" t="s">
        <v>7</v>
      </c>
      <c r="C741">
        <v>35.5</v>
      </c>
      <c r="D741">
        <v>2</v>
      </c>
      <c r="E741" t="s">
        <v>1</v>
      </c>
      <c r="F741" t="s">
        <v>3</v>
      </c>
      <c r="G741" s="2">
        <v>44585.455869999998</v>
      </c>
      <c r="H741" s="1" t="str">
        <f>IF(A741&lt;31,"18-30",IF(A741&lt;46,"31-45",IF(A741&lt;61,"46-60","60+")))</f>
        <v>18-30</v>
      </c>
      <c r="I741" t="str">
        <f>IF(C741&lt;18.5,"Underweight",IF(C741&lt;25,"Normal",IF(C741&lt;30,"Overweight","Obese")))</f>
        <v>Obese</v>
      </c>
      <c r="J741">
        <f>IF(E741="yes",1,0)</f>
        <v>1</v>
      </c>
      <c r="K741" t="str">
        <f>IF(G741&gt;15000,"High","Low")</f>
        <v>High</v>
      </c>
    </row>
    <row r="742" spans="1:11" x14ac:dyDescent="0.35">
      <c r="A742">
        <v>45</v>
      </c>
      <c r="B742" t="s">
        <v>7</v>
      </c>
      <c r="C742">
        <v>24.035</v>
      </c>
      <c r="D742">
        <v>2</v>
      </c>
      <c r="E742" t="s">
        <v>4</v>
      </c>
      <c r="F742" t="s">
        <v>6</v>
      </c>
      <c r="G742" s="2">
        <v>8604.4836500000001</v>
      </c>
      <c r="H742" s="1" t="str">
        <f>IF(A742&lt;31,"18-30",IF(A742&lt;46,"31-45",IF(A742&lt;61,"46-60","60+")))</f>
        <v>31-45</v>
      </c>
      <c r="I742" t="str">
        <f>IF(C742&lt;18.5,"Underweight",IF(C742&lt;25,"Normal",IF(C742&lt;30,"Overweight","Obese")))</f>
        <v>Normal</v>
      </c>
      <c r="J742">
        <f>IF(E742="yes",1,0)</f>
        <v>0</v>
      </c>
      <c r="K742" t="str">
        <f>IF(G742&gt;15000,"High","Low")</f>
        <v>Low</v>
      </c>
    </row>
    <row r="743" spans="1:11" x14ac:dyDescent="0.35">
      <c r="A743">
        <v>27</v>
      </c>
      <c r="B743" t="s">
        <v>7</v>
      </c>
      <c r="C743">
        <v>29.15</v>
      </c>
      <c r="D743">
        <v>0</v>
      </c>
      <c r="E743" t="s">
        <v>1</v>
      </c>
      <c r="F743" t="s">
        <v>5</v>
      </c>
      <c r="G743" s="2">
        <v>18246.495500000001</v>
      </c>
      <c r="H743" s="1" t="str">
        <f>IF(A743&lt;31,"18-30",IF(A743&lt;46,"31-45",IF(A743&lt;61,"46-60","60+")))</f>
        <v>18-30</v>
      </c>
      <c r="I743" t="str">
        <f>IF(C743&lt;18.5,"Underweight",IF(C743&lt;25,"Normal",IF(C743&lt;30,"Overweight","Obese")))</f>
        <v>Overweight</v>
      </c>
      <c r="J743">
        <f>IF(E743="yes",1,0)</f>
        <v>1</v>
      </c>
      <c r="K743" t="str">
        <f>IF(G743&gt;15000,"High","Low")</f>
        <v>High</v>
      </c>
    </row>
    <row r="744" spans="1:11" x14ac:dyDescent="0.35">
      <c r="A744">
        <v>53</v>
      </c>
      <c r="B744" t="s">
        <v>7</v>
      </c>
      <c r="C744">
        <v>34.104999999999997</v>
      </c>
      <c r="D744">
        <v>0</v>
      </c>
      <c r="E744" t="s">
        <v>1</v>
      </c>
      <c r="F744" t="s">
        <v>6</v>
      </c>
      <c r="G744" s="2">
        <v>43254.417950000003</v>
      </c>
      <c r="H744" s="1" t="str">
        <f>IF(A744&lt;31,"18-30",IF(A744&lt;46,"31-45",IF(A744&lt;61,"46-60","60+")))</f>
        <v>46-60</v>
      </c>
      <c r="I744" t="str">
        <f>IF(C744&lt;18.5,"Underweight",IF(C744&lt;25,"Normal",IF(C744&lt;30,"Overweight","Obese")))</f>
        <v>Obese</v>
      </c>
      <c r="J744">
        <f>IF(E744="yes",1,0)</f>
        <v>1</v>
      </c>
      <c r="K744" t="str">
        <f>IF(G744&gt;15000,"High","Low")</f>
        <v>High</v>
      </c>
    </row>
    <row r="745" spans="1:11" x14ac:dyDescent="0.35">
      <c r="A745">
        <v>31</v>
      </c>
      <c r="B745" t="s">
        <v>2</v>
      </c>
      <c r="C745">
        <v>26.62</v>
      </c>
      <c r="D745">
        <v>0</v>
      </c>
      <c r="E745" t="s">
        <v>4</v>
      </c>
      <c r="F745" t="s">
        <v>5</v>
      </c>
      <c r="G745" s="2">
        <v>3757.8447999999999</v>
      </c>
      <c r="H745" s="1" t="str">
        <f>IF(A745&lt;31,"18-30",IF(A745&lt;46,"31-45",IF(A745&lt;61,"46-60","60+")))</f>
        <v>31-45</v>
      </c>
      <c r="I745" t="str">
        <f>IF(C745&lt;18.5,"Underweight",IF(C745&lt;25,"Normal",IF(C745&lt;30,"Overweight","Obese")))</f>
        <v>Overweight</v>
      </c>
      <c r="J745">
        <f>IF(E745="yes",1,0)</f>
        <v>0</v>
      </c>
      <c r="K745" t="str">
        <f>IF(G745&gt;15000,"High","Low")</f>
        <v>Low</v>
      </c>
    </row>
    <row r="746" spans="1:11" x14ac:dyDescent="0.35">
      <c r="A746">
        <v>50</v>
      </c>
      <c r="B746" t="s">
        <v>7</v>
      </c>
      <c r="C746">
        <v>26.41</v>
      </c>
      <c r="D746">
        <v>0</v>
      </c>
      <c r="E746" t="s">
        <v>4</v>
      </c>
      <c r="F746" t="s">
        <v>0</v>
      </c>
      <c r="G746" s="2">
        <v>8827.2098999999998</v>
      </c>
      <c r="H746" s="1" t="str">
        <f>IF(A746&lt;31,"18-30",IF(A746&lt;46,"31-45",IF(A746&lt;61,"46-60","60+")))</f>
        <v>46-60</v>
      </c>
      <c r="I746" t="str">
        <f>IF(C746&lt;18.5,"Underweight",IF(C746&lt;25,"Normal",IF(C746&lt;30,"Overweight","Obese")))</f>
        <v>Overweight</v>
      </c>
      <c r="J746">
        <f>IF(E746="yes",1,0)</f>
        <v>0</v>
      </c>
      <c r="K746" t="str">
        <f>IF(G746&gt;15000,"High","Low")</f>
        <v>Low</v>
      </c>
    </row>
    <row r="747" spans="1:11" x14ac:dyDescent="0.35">
      <c r="A747">
        <v>50</v>
      </c>
      <c r="B747" t="s">
        <v>2</v>
      </c>
      <c r="C747">
        <v>30.114999999999998</v>
      </c>
      <c r="D747">
        <v>1</v>
      </c>
      <c r="E747" t="s">
        <v>4</v>
      </c>
      <c r="F747" t="s">
        <v>0</v>
      </c>
      <c r="G747" s="2">
        <v>9910.3598500000007</v>
      </c>
      <c r="H747" s="1" t="str">
        <f>IF(A747&lt;31,"18-30",IF(A747&lt;46,"31-45",IF(A747&lt;61,"46-60","60+")))</f>
        <v>46-60</v>
      </c>
      <c r="I747" t="str">
        <f>IF(C747&lt;18.5,"Underweight",IF(C747&lt;25,"Normal",IF(C747&lt;30,"Overweight","Obese")))</f>
        <v>Obese</v>
      </c>
      <c r="J747">
        <f>IF(E747="yes",1,0)</f>
        <v>0</v>
      </c>
      <c r="K747" t="str">
        <f>IF(G747&gt;15000,"High","Low")</f>
        <v>Low</v>
      </c>
    </row>
    <row r="748" spans="1:11" x14ac:dyDescent="0.35">
      <c r="A748">
        <v>34</v>
      </c>
      <c r="B748" t="s">
        <v>7</v>
      </c>
      <c r="C748">
        <v>27</v>
      </c>
      <c r="D748">
        <v>2</v>
      </c>
      <c r="E748" t="s">
        <v>4</v>
      </c>
      <c r="F748" t="s">
        <v>3</v>
      </c>
      <c r="G748" s="2">
        <v>11737.848840000001</v>
      </c>
      <c r="H748" s="1" t="str">
        <f>IF(A748&lt;31,"18-30",IF(A748&lt;46,"31-45",IF(A748&lt;61,"46-60","60+")))</f>
        <v>31-45</v>
      </c>
      <c r="I748" t="str">
        <f>IF(C748&lt;18.5,"Underweight",IF(C748&lt;25,"Normal",IF(C748&lt;30,"Overweight","Obese")))</f>
        <v>Overweight</v>
      </c>
      <c r="J748">
        <f>IF(E748="yes",1,0)</f>
        <v>0</v>
      </c>
      <c r="K748" t="str">
        <f>IF(G748&gt;15000,"High","Low")</f>
        <v>Low</v>
      </c>
    </row>
    <row r="749" spans="1:11" x14ac:dyDescent="0.35">
      <c r="A749">
        <v>19</v>
      </c>
      <c r="B749" t="s">
        <v>7</v>
      </c>
      <c r="C749">
        <v>21.754999999999999</v>
      </c>
      <c r="D749">
        <v>0</v>
      </c>
      <c r="E749" t="s">
        <v>4</v>
      </c>
      <c r="F749" t="s">
        <v>0</v>
      </c>
      <c r="G749" s="2">
        <v>1627.2824499999999</v>
      </c>
      <c r="H749" s="1" t="str">
        <f>IF(A749&lt;31,"18-30",IF(A749&lt;46,"31-45",IF(A749&lt;61,"46-60","60+")))</f>
        <v>18-30</v>
      </c>
      <c r="I749" t="str">
        <f>IF(C749&lt;18.5,"Underweight",IF(C749&lt;25,"Normal",IF(C749&lt;30,"Overweight","Obese")))</f>
        <v>Normal</v>
      </c>
      <c r="J749">
        <f>IF(E749="yes",1,0)</f>
        <v>0</v>
      </c>
      <c r="K749" t="str">
        <f>IF(G749&gt;15000,"High","Low")</f>
        <v>Low</v>
      </c>
    </row>
    <row r="750" spans="1:11" x14ac:dyDescent="0.35">
      <c r="A750">
        <v>47</v>
      </c>
      <c r="B750" t="s">
        <v>2</v>
      </c>
      <c r="C750">
        <v>36</v>
      </c>
      <c r="D750">
        <v>1</v>
      </c>
      <c r="E750" t="s">
        <v>4</v>
      </c>
      <c r="F750" t="s">
        <v>3</v>
      </c>
      <c r="G750" s="2">
        <v>8556.9069999999992</v>
      </c>
      <c r="H750" s="1" t="str">
        <f>IF(A750&lt;31,"18-30",IF(A750&lt;46,"31-45",IF(A750&lt;61,"46-60","60+")))</f>
        <v>46-60</v>
      </c>
      <c r="I750" t="str">
        <f>IF(C750&lt;18.5,"Underweight",IF(C750&lt;25,"Normal",IF(C750&lt;30,"Overweight","Obese")))</f>
        <v>Obese</v>
      </c>
      <c r="J750">
        <f>IF(E750="yes",1,0)</f>
        <v>0</v>
      </c>
      <c r="K750" t="str">
        <f>IF(G750&gt;15000,"High","Low")</f>
        <v>Low</v>
      </c>
    </row>
    <row r="751" spans="1:11" x14ac:dyDescent="0.35">
      <c r="A751">
        <v>28</v>
      </c>
      <c r="B751" t="s">
        <v>7</v>
      </c>
      <c r="C751">
        <v>30.875</v>
      </c>
      <c r="D751">
        <v>0</v>
      </c>
      <c r="E751" t="s">
        <v>4</v>
      </c>
      <c r="F751" t="s">
        <v>0</v>
      </c>
      <c r="G751" s="2">
        <v>3062.5082499999999</v>
      </c>
      <c r="H751" s="1" t="str">
        <f>IF(A751&lt;31,"18-30",IF(A751&lt;46,"31-45",IF(A751&lt;61,"46-60","60+")))</f>
        <v>18-30</v>
      </c>
      <c r="I751" t="str">
        <f>IF(C751&lt;18.5,"Underweight",IF(C751&lt;25,"Normal",IF(C751&lt;30,"Overweight","Obese")))</f>
        <v>Obese</v>
      </c>
      <c r="J751">
        <f>IF(E751="yes",1,0)</f>
        <v>0</v>
      </c>
      <c r="K751" t="str">
        <f>IF(G751&gt;15000,"High","Low")</f>
        <v>Low</v>
      </c>
    </row>
    <row r="752" spans="1:11" x14ac:dyDescent="0.35">
      <c r="A752">
        <v>37</v>
      </c>
      <c r="B752" t="s">
        <v>2</v>
      </c>
      <c r="C752">
        <v>26.4</v>
      </c>
      <c r="D752">
        <v>0</v>
      </c>
      <c r="E752" t="s">
        <v>1</v>
      </c>
      <c r="F752" t="s">
        <v>5</v>
      </c>
      <c r="G752" s="2">
        <v>19539.242999999999</v>
      </c>
      <c r="H752" s="1" t="str">
        <f>IF(A752&lt;31,"18-30",IF(A752&lt;46,"31-45",IF(A752&lt;61,"46-60","60+")))</f>
        <v>31-45</v>
      </c>
      <c r="I752" t="str">
        <f>IF(C752&lt;18.5,"Underweight",IF(C752&lt;25,"Normal",IF(C752&lt;30,"Overweight","Obese")))</f>
        <v>Overweight</v>
      </c>
      <c r="J752">
        <f>IF(E752="yes",1,0)</f>
        <v>1</v>
      </c>
      <c r="K752" t="str">
        <f>IF(G752&gt;15000,"High","Low")</f>
        <v>High</v>
      </c>
    </row>
    <row r="753" spans="1:11" x14ac:dyDescent="0.35">
      <c r="A753">
        <v>21</v>
      </c>
      <c r="B753" t="s">
        <v>7</v>
      </c>
      <c r="C753">
        <v>28.975000000000001</v>
      </c>
      <c r="D753">
        <v>0</v>
      </c>
      <c r="E753" t="s">
        <v>4</v>
      </c>
      <c r="F753" t="s">
        <v>0</v>
      </c>
      <c r="G753" s="2">
        <v>1906.35825</v>
      </c>
      <c r="H753" s="1" t="str">
        <f>IF(A753&lt;31,"18-30",IF(A753&lt;46,"31-45",IF(A753&lt;61,"46-60","60+")))</f>
        <v>18-30</v>
      </c>
      <c r="I753" t="str">
        <f>IF(C753&lt;18.5,"Underweight",IF(C753&lt;25,"Normal",IF(C753&lt;30,"Overweight","Obese")))</f>
        <v>Overweight</v>
      </c>
      <c r="J753">
        <f>IF(E753="yes",1,0)</f>
        <v>0</v>
      </c>
      <c r="K753" t="str">
        <f>IF(G753&gt;15000,"High","Low")</f>
        <v>Low</v>
      </c>
    </row>
    <row r="754" spans="1:11" x14ac:dyDescent="0.35">
      <c r="A754">
        <v>64</v>
      </c>
      <c r="B754" t="s">
        <v>7</v>
      </c>
      <c r="C754">
        <v>37.905000000000001</v>
      </c>
      <c r="D754">
        <v>0</v>
      </c>
      <c r="E754" t="s">
        <v>4</v>
      </c>
      <c r="F754" t="s">
        <v>0</v>
      </c>
      <c r="G754" s="2">
        <v>14210.53595</v>
      </c>
      <c r="H754" s="1" t="str">
        <f>IF(A754&lt;31,"18-30",IF(A754&lt;46,"31-45",IF(A754&lt;61,"46-60","60+")))</f>
        <v>60+</v>
      </c>
      <c r="I754" t="str">
        <f>IF(C754&lt;18.5,"Underweight",IF(C754&lt;25,"Normal",IF(C754&lt;30,"Overweight","Obese")))</f>
        <v>Obese</v>
      </c>
      <c r="J754">
        <f>IF(E754="yes",1,0)</f>
        <v>0</v>
      </c>
      <c r="K754" t="str">
        <f>IF(G754&gt;15000,"High","Low")</f>
        <v>Low</v>
      </c>
    </row>
    <row r="755" spans="1:11" x14ac:dyDescent="0.35">
      <c r="A755">
        <v>58</v>
      </c>
      <c r="B755" t="s">
        <v>2</v>
      </c>
      <c r="C755">
        <v>22.77</v>
      </c>
      <c r="D755">
        <v>0</v>
      </c>
      <c r="E755" t="s">
        <v>4</v>
      </c>
      <c r="F755" t="s">
        <v>5</v>
      </c>
      <c r="G755" s="2">
        <v>11833.782300000001</v>
      </c>
      <c r="H755" s="1" t="str">
        <f>IF(A755&lt;31,"18-30",IF(A755&lt;46,"31-45",IF(A755&lt;61,"46-60","60+")))</f>
        <v>46-60</v>
      </c>
      <c r="I755" t="str">
        <f>IF(C755&lt;18.5,"Underweight",IF(C755&lt;25,"Normal",IF(C755&lt;30,"Overweight","Obese")))</f>
        <v>Normal</v>
      </c>
      <c r="J755">
        <f>IF(E755="yes",1,0)</f>
        <v>0</v>
      </c>
      <c r="K755" t="str">
        <f>IF(G755&gt;15000,"High","Low")</f>
        <v>Low</v>
      </c>
    </row>
    <row r="756" spans="1:11" x14ac:dyDescent="0.35">
      <c r="A756">
        <v>24</v>
      </c>
      <c r="B756" t="s">
        <v>7</v>
      </c>
      <c r="C756">
        <v>33.630000000000003</v>
      </c>
      <c r="D756">
        <v>4</v>
      </c>
      <c r="E756" t="s">
        <v>4</v>
      </c>
      <c r="F756" t="s">
        <v>6</v>
      </c>
      <c r="G756" s="2">
        <v>17128.426080000001</v>
      </c>
      <c r="H756" s="1" t="str">
        <f>IF(A756&lt;31,"18-30",IF(A756&lt;46,"31-45",IF(A756&lt;61,"46-60","60+")))</f>
        <v>18-30</v>
      </c>
      <c r="I756" t="str">
        <f>IF(C756&lt;18.5,"Underweight",IF(C756&lt;25,"Normal",IF(C756&lt;30,"Overweight","Obese")))</f>
        <v>Obese</v>
      </c>
      <c r="J756">
        <f>IF(E756="yes",1,0)</f>
        <v>0</v>
      </c>
      <c r="K756" t="str">
        <f>IF(G756&gt;15000,"High","Low")</f>
        <v>High</v>
      </c>
    </row>
    <row r="757" spans="1:11" x14ac:dyDescent="0.35">
      <c r="A757">
        <v>31</v>
      </c>
      <c r="B757" t="s">
        <v>7</v>
      </c>
      <c r="C757">
        <v>27.645</v>
      </c>
      <c r="D757">
        <v>2</v>
      </c>
      <c r="E757" t="s">
        <v>4</v>
      </c>
      <c r="F757" t="s">
        <v>6</v>
      </c>
      <c r="G757" s="2">
        <v>5031.26955</v>
      </c>
      <c r="H757" s="1" t="str">
        <f>IF(A757&lt;31,"18-30",IF(A757&lt;46,"31-45",IF(A757&lt;61,"46-60","60+")))</f>
        <v>31-45</v>
      </c>
      <c r="I757" t="str">
        <f>IF(C757&lt;18.5,"Underweight",IF(C757&lt;25,"Normal",IF(C757&lt;30,"Overweight","Obese")))</f>
        <v>Overweight</v>
      </c>
      <c r="J757">
        <f>IF(E757="yes",1,0)</f>
        <v>0</v>
      </c>
      <c r="K757" t="str">
        <f>IF(G757&gt;15000,"High","Low")</f>
        <v>Low</v>
      </c>
    </row>
    <row r="758" spans="1:11" x14ac:dyDescent="0.35">
      <c r="A758">
        <v>39</v>
      </c>
      <c r="B758" t="s">
        <v>2</v>
      </c>
      <c r="C758">
        <v>22.8</v>
      </c>
      <c r="D758">
        <v>3</v>
      </c>
      <c r="E758" t="s">
        <v>4</v>
      </c>
      <c r="F758" t="s">
        <v>6</v>
      </c>
      <c r="G758" s="2">
        <v>7985.8149999999996</v>
      </c>
      <c r="H758" s="1" t="str">
        <f>IF(A758&lt;31,"18-30",IF(A758&lt;46,"31-45",IF(A758&lt;61,"46-60","60+")))</f>
        <v>31-45</v>
      </c>
      <c r="I758" t="str">
        <f>IF(C758&lt;18.5,"Underweight",IF(C758&lt;25,"Normal",IF(C758&lt;30,"Overweight","Obese")))</f>
        <v>Normal</v>
      </c>
      <c r="J758">
        <f>IF(E758="yes",1,0)</f>
        <v>0</v>
      </c>
      <c r="K758" t="str">
        <f>IF(G758&gt;15000,"High","Low")</f>
        <v>Low</v>
      </c>
    </row>
    <row r="759" spans="1:11" x14ac:dyDescent="0.35">
      <c r="A759">
        <v>47</v>
      </c>
      <c r="B759" t="s">
        <v>2</v>
      </c>
      <c r="C759">
        <v>27.83</v>
      </c>
      <c r="D759">
        <v>0</v>
      </c>
      <c r="E759" t="s">
        <v>1</v>
      </c>
      <c r="F759" t="s">
        <v>5</v>
      </c>
      <c r="G759" s="2">
        <v>23065.420699999999</v>
      </c>
      <c r="H759" s="1" t="str">
        <f>IF(A759&lt;31,"18-30",IF(A759&lt;46,"31-45",IF(A759&lt;61,"46-60","60+")))</f>
        <v>46-60</v>
      </c>
      <c r="I759" t="str">
        <f>IF(C759&lt;18.5,"Underweight",IF(C759&lt;25,"Normal",IF(C759&lt;30,"Overweight","Obese")))</f>
        <v>Overweight</v>
      </c>
      <c r="J759">
        <f>IF(E759="yes",1,0)</f>
        <v>1</v>
      </c>
      <c r="K759" t="str">
        <f>IF(G759&gt;15000,"High","Low")</f>
        <v>High</v>
      </c>
    </row>
    <row r="760" spans="1:11" x14ac:dyDescent="0.35">
      <c r="A760">
        <v>30</v>
      </c>
      <c r="B760" t="s">
        <v>7</v>
      </c>
      <c r="C760">
        <v>37.43</v>
      </c>
      <c r="D760">
        <v>3</v>
      </c>
      <c r="E760" t="s">
        <v>4</v>
      </c>
      <c r="F760" t="s">
        <v>6</v>
      </c>
      <c r="G760" s="2">
        <v>5428.7277000000004</v>
      </c>
      <c r="H760" s="1" t="str">
        <f>IF(A760&lt;31,"18-30",IF(A760&lt;46,"31-45",IF(A760&lt;61,"46-60","60+")))</f>
        <v>18-30</v>
      </c>
      <c r="I760" t="str">
        <f>IF(C760&lt;18.5,"Underweight",IF(C760&lt;25,"Normal",IF(C760&lt;30,"Overweight","Obese")))</f>
        <v>Obese</v>
      </c>
      <c r="J760">
        <f>IF(E760="yes",1,0)</f>
        <v>0</v>
      </c>
      <c r="K760" t="str">
        <f>IF(G760&gt;15000,"High","Low")</f>
        <v>Low</v>
      </c>
    </row>
    <row r="761" spans="1:11" x14ac:dyDescent="0.35">
      <c r="A761">
        <v>18</v>
      </c>
      <c r="B761" t="s">
        <v>7</v>
      </c>
      <c r="C761">
        <v>38.17</v>
      </c>
      <c r="D761">
        <v>0</v>
      </c>
      <c r="E761" t="s">
        <v>1</v>
      </c>
      <c r="F761" t="s">
        <v>5</v>
      </c>
      <c r="G761" s="2">
        <v>36307.798300000002</v>
      </c>
      <c r="H761" s="1" t="str">
        <f>IF(A761&lt;31,"18-30",IF(A761&lt;46,"31-45",IF(A761&lt;61,"46-60","60+")))</f>
        <v>18-30</v>
      </c>
      <c r="I761" t="str">
        <f>IF(C761&lt;18.5,"Underweight",IF(C761&lt;25,"Normal",IF(C761&lt;30,"Overweight","Obese")))</f>
        <v>Obese</v>
      </c>
      <c r="J761">
        <f>IF(E761="yes",1,0)</f>
        <v>1</v>
      </c>
      <c r="K761" t="str">
        <f>IF(G761&gt;15000,"High","Low")</f>
        <v>High</v>
      </c>
    </row>
    <row r="762" spans="1:11" x14ac:dyDescent="0.35">
      <c r="A762">
        <v>22</v>
      </c>
      <c r="B762" t="s">
        <v>2</v>
      </c>
      <c r="C762">
        <v>34.58</v>
      </c>
      <c r="D762">
        <v>2</v>
      </c>
      <c r="E762" t="s">
        <v>4</v>
      </c>
      <c r="F762" t="s">
        <v>6</v>
      </c>
      <c r="G762" s="2">
        <v>3925.7582000000002</v>
      </c>
      <c r="H762" s="1" t="str">
        <f>IF(A762&lt;31,"18-30",IF(A762&lt;46,"31-45",IF(A762&lt;61,"46-60","60+")))</f>
        <v>18-30</v>
      </c>
      <c r="I762" t="str">
        <f>IF(C762&lt;18.5,"Underweight",IF(C762&lt;25,"Normal",IF(C762&lt;30,"Overweight","Obese")))</f>
        <v>Obese</v>
      </c>
      <c r="J762">
        <f>IF(E762="yes",1,0)</f>
        <v>0</v>
      </c>
      <c r="K762" t="str">
        <f>IF(G762&gt;15000,"High","Low")</f>
        <v>Low</v>
      </c>
    </row>
    <row r="763" spans="1:11" x14ac:dyDescent="0.35">
      <c r="A763">
        <v>23</v>
      </c>
      <c r="B763" t="s">
        <v>7</v>
      </c>
      <c r="C763">
        <v>35.200000000000003</v>
      </c>
      <c r="D763">
        <v>1</v>
      </c>
      <c r="E763" t="s">
        <v>4</v>
      </c>
      <c r="F763" t="s">
        <v>3</v>
      </c>
      <c r="G763" s="2">
        <v>2416.9549999999999</v>
      </c>
      <c r="H763" s="1" t="str">
        <f>IF(A763&lt;31,"18-30",IF(A763&lt;46,"31-45",IF(A763&lt;61,"46-60","60+")))</f>
        <v>18-30</v>
      </c>
      <c r="I763" t="str">
        <f>IF(C763&lt;18.5,"Underweight",IF(C763&lt;25,"Normal",IF(C763&lt;30,"Overweight","Obese")))</f>
        <v>Obese</v>
      </c>
      <c r="J763">
        <f>IF(E763="yes",1,0)</f>
        <v>0</v>
      </c>
      <c r="K763" t="str">
        <f>IF(G763&gt;15000,"High","Low")</f>
        <v>Low</v>
      </c>
    </row>
    <row r="764" spans="1:11" x14ac:dyDescent="0.35">
      <c r="A764">
        <v>33</v>
      </c>
      <c r="B764" t="s">
        <v>7</v>
      </c>
      <c r="C764">
        <v>27.1</v>
      </c>
      <c r="D764">
        <v>1</v>
      </c>
      <c r="E764" t="s">
        <v>1</v>
      </c>
      <c r="F764" t="s">
        <v>3</v>
      </c>
      <c r="G764" s="2">
        <v>19040.876</v>
      </c>
      <c r="H764" s="1" t="str">
        <f>IF(A764&lt;31,"18-30",IF(A764&lt;46,"31-45",IF(A764&lt;61,"46-60","60+")))</f>
        <v>31-45</v>
      </c>
      <c r="I764" t="str">
        <f>IF(C764&lt;18.5,"Underweight",IF(C764&lt;25,"Normal",IF(C764&lt;30,"Overweight","Obese")))</f>
        <v>Overweight</v>
      </c>
      <c r="J764">
        <f>IF(E764="yes",1,0)</f>
        <v>1</v>
      </c>
      <c r="K764" t="str">
        <f>IF(G764&gt;15000,"High","Low")</f>
        <v>High</v>
      </c>
    </row>
    <row r="765" spans="1:11" x14ac:dyDescent="0.35">
      <c r="A765">
        <v>27</v>
      </c>
      <c r="B765" t="s">
        <v>7</v>
      </c>
      <c r="C765">
        <v>26.03</v>
      </c>
      <c r="D765">
        <v>0</v>
      </c>
      <c r="E765" t="s">
        <v>4</v>
      </c>
      <c r="F765" t="s">
        <v>6</v>
      </c>
      <c r="G765" s="2">
        <v>3070.8087</v>
      </c>
      <c r="H765" s="1" t="str">
        <f>IF(A765&lt;31,"18-30",IF(A765&lt;46,"31-45",IF(A765&lt;61,"46-60","60+")))</f>
        <v>18-30</v>
      </c>
      <c r="I765" t="str">
        <f>IF(C765&lt;18.5,"Underweight",IF(C765&lt;25,"Normal",IF(C765&lt;30,"Overweight","Obese")))</f>
        <v>Overweight</v>
      </c>
      <c r="J765">
        <f>IF(E765="yes",1,0)</f>
        <v>0</v>
      </c>
      <c r="K765" t="str">
        <f>IF(G765&gt;15000,"High","Low")</f>
        <v>Low</v>
      </c>
    </row>
    <row r="766" spans="1:11" x14ac:dyDescent="0.35">
      <c r="A766">
        <v>45</v>
      </c>
      <c r="B766" t="s">
        <v>2</v>
      </c>
      <c r="C766">
        <v>25.175000000000001</v>
      </c>
      <c r="D766">
        <v>2</v>
      </c>
      <c r="E766" t="s">
        <v>4</v>
      </c>
      <c r="F766" t="s">
        <v>6</v>
      </c>
      <c r="G766" s="2">
        <v>9095.0682500000003</v>
      </c>
      <c r="H766" s="1" t="str">
        <f>IF(A766&lt;31,"18-30",IF(A766&lt;46,"31-45",IF(A766&lt;61,"46-60","60+")))</f>
        <v>31-45</v>
      </c>
      <c r="I766" t="str">
        <f>IF(C766&lt;18.5,"Underweight",IF(C766&lt;25,"Normal",IF(C766&lt;30,"Overweight","Obese")))</f>
        <v>Overweight</v>
      </c>
      <c r="J766">
        <f>IF(E766="yes",1,0)</f>
        <v>0</v>
      </c>
      <c r="K766" t="str">
        <f>IF(G766&gt;15000,"High","Low")</f>
        <v>Low</v>
      </c>
    </row>
    <row r="767" spans="1:11" x14ac:dyDescent="0.35">
      <c r="A767">
        <v>57</v>
      </c>
      <c r="B767" t="s">
        <v>2</v>
      </c>
      <c r="C767">
        <v>31.824999999999999</v>
      </c>
      <c r="D767">
        <v>0</v>
      </c>
      <c r="E767" t="s">
        <v>4</v>
      </c>
      <c r="F767" t="s">
        <v>0</v>
      </c>
      <c r="G767" s="2">
        <v>11842.623750000001</v>
      </c>
      <c r="H767" s="1" t="str">
        <f>IF(A767&lt;31,"18-30",IF(A767&lt;46,"31-45",IF(A767&lt;61,"46-60","60+")))</f>
        <v>46-60</v>
      </c>
      <c r="I767" t="str">
        <f>IF(C767&lt;18.5,"Underweight",IF(C767&lt;25,"Normal",IF(C767&lt;30,"Overweight","Obese")))</f>
        <v>Obese</v>
      </c>
      <c r="J767">
        <f>IF(E767="yes",1,0)</f>
        <v>0</v>
      </c>
      <c r="K767" t="str">
        <f>IF(G767&gt;15000,"High","Low")</f>
        <v>Low</v>
      </c>
    </row>
    <row r="768" spans="1:11" x14ac:dyDescent="0.35">
      <c r="A768">
        <v>47</v>
      </c>
      <c r="B768" t="s">
        <v>7</v>
      </c>
      <c r="C768">
        <v>32.299999999999997</v>
      </c>
      <c r="D768">
        <v>1</v>
      </c>
      <c r="E768" t="s">
        <v>4</v>
      </c>
      <c r="F768" t="s">
        <v>3</v>
      </c>
      <c r="G768" s="2">
        <v>8062.7640000000001</v>
      </c>
      <c r="H768" s="1" t="str">
        <f>IF(A768&lt;31,"18-30",IF(A768&lt;46,"31-45",IF(A768&lt;61,"46-60","60+")))</f>
        <v>46-60</v>
      </c>
      <c r="I768" t="str">
        <f>IF(C768&lt;18.5,"Underweight",IF(C768&lt;25,"Normal",IF(C768&lt;30,"Overweight","Obese")))</f>
        <v>Obese</v>
      </c>
      <c r="J768">
        <f>IF(E768="yes",1,0)</f>
        <v>0</v>
      </c>
      <c r="K768" t="str">
        <f>IF(G768&gt;15000,"High","Low")</f>
        <v>Low</v>
      </c>
    </row>
    <row r="769" spans="1:11" x14ac:dyDescent="0.35">
      <c r="A769">
        <v>42</v>
      </c>
      <c r="B769" t="s">
        <v>2</v>
      </c>
      <c r="C769">
        <v>29</v>
      </c>
      <c r="D769">
        <v>1</v>
      </c>
      <c r="E769" t="s">
        <v>4</v>
      </c>
      <c r="F769" t="s">
        <v>3</v>
      </c>
      <c r="G769" s="2">
        <v>7050.6419999999998</v>
      </c>
      <c r="H769" s="1" t="str">
        <f>IF(A769&lt;31,"18-30",IF(A769&lt;46,"31-45",IF(A769&lt;61,"46-60","60+")))</f>
        <v>31-45</v>
      </c>
      <c r="I769" t="str">
        <f>IF(C769&lt;18.5,"Underweight",IF(C769&lt;25,"Normal",IF(C769&lt;30,"Overweight","Obese")))</f>
        <v>Overweight</v>
      </c>
      <c r="J769">
        <f>IF(E769="yes",1,0)</f>
        <v>0</v>
      </c>
      <c r="K769" t="str">
        <f>IF(G769&gt;15000,"High","Low")</f>
        <v>Low</v>
      </c>
    </row>
    <row r="770" spans="1:11" x14ac:dyDescent="0.35">
      <c r="A770">
        <v>64</v>
      </c>
      <c r="B770" t="s">
        <v>2</v>
      </c>
      <c r="C770">
        <v>39.700000000000003</v>
      </c>
      <c r="D770">
        <v>0</v>
      </c>
      <c r="E770" t="s">
        <v>4</v>
      </c>
      <c r="F770" t="s">
        <v>3</v>
      </c>
      <c r="G770" s="2">
        <v>14319.031000000001</v>
      </c>
      <c r="H770" s="1" t="str">
        <f>IF(A770&lt;31,"18-30",IF(A770&lt;46,"31-45",IF(A770&lt;61,"46-60","60+")))</f>
        <v>60+</v>
      </c>
      <c r="I770" t="str">
        <f>IF(C770&lt;18.5,"Underweight",IF(C770&lt;25,"Normal",IF(C770&lt;30,"Overweight","Obese")))</f>
        <v>Obese</v>
      </c>
      <c r="J770">
        <f>IF(E770="yes",1,0)</f>
        <v>0</v>
      </c>
      <c r="K770" t="str">
        <f>IF(G770&gt;15000,"High","Low")</f>
        <v>Low</v>
      </c>
    </row>
    <row r="771" spans="1:11" x14ac:dyDescent="0.35">
      <c r="A771">
        <v>38</v>
      </c>
      <c r="B771" t="s">
        <v>2</v>
      </c>
      <c r="C771">
        <v>19.475000000000001</v>
      </c>
      <c r="D771">
        <v>2</v>
      </c>
      <c r="E771" t="s">
        <v>4</v>
      </c>
      <c r="F771" t="s">
        <v>0</v>
      </c>
      <c r="G771" s="2">
        <v>6933.2422500000002</v>
      </c>
      <c r="H771" s="1" t="str">
        <f>IF(A771&lt;31,"18-30",IF(A771&lt;46,"31-45",IF(A771&lt;61,"46-60","60+")))</f>
        <v>31-45</v>
      </c>
      <c r="I771" t="str">
        <f>IF(C771&lt;18.5,"Underweight",IF(C771&lt;25,"Normal",IF(C771&lt;30,"Overweight","Obese")))</f>
        <v>Normal</v>
      </c>
      <c r="J771">
        <f>IF(E771="yes",1,0)</f>
        <v>0</v>
      </c>
      <c r="K771" t="str">
        <f>IF(G771&gt;15000,"High","Low")</f>
        <v>Low</v>
      </c>
    </row>
    <row r="772" spans="1:11" x14ac:dyDescent="0.35">
      <c r="A772">
        <v>61</v>
      </c>
      <c r="B772" t="s">
        <v>7</v>
      </c>
      <c r="C772">
        <v>36.1</v>
      </c>
      <c r="D772">
        <v>3</v>
      </c>
      <c r="E772" t="s">
        <v>4</v>
      </c>
      <c r="F772" t="s">
        <v>3</v>
      </c>
      <c r="G772" s="2">
        <v>27941.28758</v>
      </c>
      <c r="H772" s="1" t="str">
        <f>IF(A772&lt;31,"18-30",IF(A772&lt;46,"31-45",IF(A772&lt;61,"46-60","60+")))</f>
        <v>60+</v>
      </c>
      <c r="I772" t="str">
        <f>IF(C772&lt;18.5,"Underweight",IF(C772&lt;25,"Normal",IF(C772&lt;30,"Overweight","Obese")))</f>
        <v>Obese</v>
      </c>
      <c r="J772">
        <f>IF(E772="yes",1,0)</f>
        <v>0</v>
      </c>
      <c r="K772" t="str">
        <f>IF(G772&gt;15000,"High","Low")</f>
        <v>High</v>
      </c>
    </row>
    <row r="773" spans="1:11" x14ac:dyDescent="0.35">
      <c r="A773">
        <v>53</v>
      </c>
      <c r="B773" t="s">
        <v>2</v>
      </c>
      <c r="C773">
        <v>26.7</v>
      </c>
      <c r="D773">
        <v>2</v>
      </c>
      <c r="E773" t="s">
        <v>4</v>
      </c>
      <c r="F773" t="s">
        <v>3</v>
      </c>
      <c r="G773" s="2">
        <v>11150.78</v>
      </c>
      <c r="H773" s="1" t="str">
        <f>IF(A773&lt;31,"18-30",IF(A773&lt;46,"31-45",IF(A773&lt;61,"46-60","60+")))</f>
        <v>46-60</v>
      </c>
      <c r="I773" t="str">
        <f>IF(C773&lt;18.5,"Underweight",IF(C773&lt;25,"Normal",IF(C773&lt;30,"Overweight","Obese")))</f>
        <v>Overweight</v>
      </c>
      <c r="J773">
        <f>IF(E773="yes",1,0)</f>
        <v>0</v>
      </c>
      <c r="K773" t="str">
        <f>IF(G773&gt;15000,"High","Low")</f>
        <v>Low</v>
      </c>
    </row>
    <row r="774" spans="1:11" x14ac:dyDescent="0.35">
      <c r="A774">
        <v>44</v>
      </c>
      <c r="B774" t="s">
        <v>2</v>
      </c>
      <c r="C774">
        <v>36.479999999999997</v>
      </c>
      <c r="D774">
        <v>0</v>
      </c>
      <c r="E774" t="s">
        <v>4</v>
      </c>
      <c r="F774" t="s">
        <v>6</v>
      </c>
      <c r="G774" s="2">
        <v>12797.20962</v>
      </c>
      <c r="H774" s="1" t="str">
        <f>IF(A774&lt;31,"18-30",IF(A774&lt;46,"31-45",IF(A774&lt;61,"46-60","60+")))</f>
        <v>31-45</v>
      </c>
      <c r="I774" t="str">
        <f>IF(C774&lt;18.5,"Underweight",IF(C774&lt;25,"Normal",IF(C774&lt;30,"Overweight","Obese")))</f>
        <v>Obese</v>
      </c>
      <c r="J774">
        <f>IF(E774="yes",1,0)</f>
        <v>0</v>
      </c>
      <c r="K774" t="str">
        <f>IF(G774&gt;15000,"High","Low")</f>
        <v>Low</v>
      </c>
    </row>
    <row r="775" spans="1:11" x14ac:dyDescent="0.35">
      <c r="A775">
        <v>19</v>
      </c>
      <c r="B775" t="s">
        <v>2</v>
      </c>
      <c r="C775">
        <v>28.88</v>
      </c>
      <c r="D775">
        <v>0</v>
      </c>
      <c r="E775" t="s">
        <v>1</v>
      </c>
      <c r="F775" t="s">
        <v>0</v>
      </c>
      <c r="G775" s="2">
        <v>17748.5062</v>
      </c>
      <c r="H775" s="1" t="str">
        <f>IF(A775&lt;31,"18-30",IF(A775&lt;46,"31-45",IF(A775&lt;61,"46-60","60+")))</f>
        <v>18-30</v>
      </c>
      <c r="I775" t="str">
        <f>IF(C775&lt;18.5,"Underweight",IF(C775&lt;25,"Normal",IF(C775&lt;30,"Overweight","Obese")))</f>
        <v>Overweight</v>
      </c>
      <c r="J775">
        <f>IF(E775="yes",1,0)</f>
        <v>1</v>
      </c>
      <c r="K775" t="str">
        <f>IF(G775&gt;15000,"High","Low")</f>
        <v>High</v>
      </c>
    </row>
    <row r="776" spans="1:11" x14ac:dyDescent="0.35">
      <c r="A776">
        <v>41</v>
      </c>
      <c r="B776" t="s">
        <v>7</v>
      </c>
      <c r="C776">
        <v>34.200000000000003</v>
      </c>
      <c r="D776">
        <v>2</v>
      </c>
      <c r="E776" t="s">
        <v>4</v>
      </c>
      <c r="F776" t="s">
        <v>0</v>
      </c>
      <c r="G776" s="2">
        <v>7261.741</v>
      </c>
      <c r="H776" s="1" t="str">
        <f>IF(A776&lt;31,"18-30",IF(A776&lt;46,"31-45",IF(A776&lt;61,"46-60","60+")))</f>
        <v>31-45</v>
      </c>
      <c r="I776" t="str">
        <f>IF(C776&lt;18.5,"Underweight",IF(C776&lt;25,"Normal",IF(C776&lt;30,"Overweight","Obese")))</f>
        <v>Obese</v>
      </c>
      <c r="J776">
        <f>IF(E776="yes",1,0)</f>
        <v>0</v>
      </c>
      <c r="K776" t="str">
        <f>IF(G776&gt;15000,"High","Low")</f>
        <v>Low</v>
      </c>
    </row>
    <row r="777" spans="1:11" x14ac:dyDescent="0.35">
      <c r="A777">
        <v>51</v>
      </c>
      <c r="B777" t="s">
        <v>7</v>
      </c>
      <c r="C777">
        <v>33.33</v>
      </c>
      <c r="D777">
        <v>3</v>
      </c>
      <c r="E777" t="s">
        <v>4</v>
      </c>
      <c r="F777" t="s">
        <v>5</v>
      </c>
      <c r="G777" s="2">
        <v>10560.4917</v>
      </c>
      <c r="H777" s="1" t="str">
        <f>IF(A777&lt;31,"18-30",IF(A777&lt;46,"31-45",IF(A777&lt;61,"46-60","60+")))</f>
        <v>46-60</v>
      </c>
      <c r="I777" t="str">
        <f>IF(C777&lt;18.5,"Underweight",IF(C777&lt;25,"Normal",IF(C777&lt;30,"Overweight","Obese")))</f>
        <v>Obese</v>
      </c>
      <c r="J777">
        <f>IF(E777="yes",1,0)</f>
        <v>0</v>
      </c>
      <c r="K777" t="str">
        <f>IF(G777&gt;15000,"High","Low")</f>
        <v>Low</v>
      </c>
    </row>
    <row r="778" spans="1:11" x14ac:dyDescent="0.35">
      <c r="A778">
        <v>40</v>
      </c>
      <c r="B778" t="s">
        <v>7</v>
      </c>
      <c r="C778">
        <v>32.299999999999997</v>
      </c>
      <c r="D778">
        <v>2</v>
      </c>
      <c r="E778" t="s">
        <v>4</v>
      </c>
      <c r="F778" t="s">
        <v>0</v>
      </c>
      <c r="G778" s="2">
        <v>6986.6970000000001</v>
      </c>
      <c r="H778" s="1" t="str">
        <f>IF(A778&lt;31,"18-30",IF(A778&lt;46,"31-45",IF(A778&lt;61,"46-60","60+")))</f>
        <v>31-45</v>
      </c>
      <c r="I778" t="str">
        <f>IF(C778&lt;18.5,"Underweight",IF(C778&lt;25,"Normal",IF(C778&lt;30,"Overweight","Obese")))</f>
        <v>Obese</v>
      </c>
      <c r="J778">
        <f>IF(E778="yes",1,0)</f>
        <v>0</v>
      </c>
      <c r="K778" t="str">
        <f>IF(G778&gt;15000,"High","Low")</f>
        <v>Low</v>
      </c>
    </row>
    <row r="779" spans="1:11" x14ac:dyDescent="0.35">
      <c r="A779">
        <v>45</v>
      </c>
      <c r="B779" t="s">
        <v>7</v>
      </c>
      <c r="C779">
        <v>39.805</v>
      </c>
      <c r="D779">
        <v>0</v>
      </c>
      <c r="E779" t="s">
        <v>4</v>
      </c>
      <c r="F779" t="s">
        <v>6</v>
      </c>
      <c r="G779" s="2">
        <v>7448.4039499999999</v>
      </c>
      <c r="H779" s="1" t="str">
        <f>IF(A779&lt;31,"18-30",IF(A779&lt;46,"31-45",IF(A779&lt;61,"46-60","60+")))</f>
        <v>31-45</v>
      </c>
      <c r="I779" t="str">
        <f>IF(C779&lt;18.5,"Underweight",IF(C779&lt;25,"Normal",IF(C779&lt;30,"Overweight","Obese")))</f>
        <v>Obese</v>
      </c>
      <c r="J779">
        <f>IF(E779="yes",1,0)</f>
        <v>0</v>
      </c>
      <c r="K779" t="str">
        <f>IF(G779&gt;15000,"High","Low")</f>
        <v>Low</v>
      </c>
    </row>
    <row r="780" spans="1:11" x14ac:dyDescent="0.35">
      <c r="A780">
        <v>35</v>
      </c>
      <c r="B780" t="s">
        <v>7</v>
      </c>
      <c r="C780">
        <v>34.32</v>
      </c>
      <c r="D780">
        <v>3</v>
      </c>
      <c r="E780" t="s">
        <v>4</v>
      </c>
      <c r="F780" t="s">
        <v>5</v>
      </c>
      <c r="G780" s="2">
        <v>5934.3797999999997</v>
      </c>
      <c r="H780" s="1" t="str">
        <f>IF(A780&lt;31,"18-30",IF(A780&lt;46,"31-45",IF(A780&lt;61,"46-60","60+")))</f>
        <v>31-45</v>
      </c>
      <c r="I780" t="str">
        <f>IF(C780&lt;18.5,"Underweight",IF(C780&lt;25,"Normal",IF(C780&lt;30,"Overweight","Obese")))</f>
        <v>Obese</v>
      </c>
      <c r="J780">
        <f>IF(E780="yes",1,0)</f>
        <v>0</v>
      </c>
      <c r="K780" t="str">
        <f>IF(G780&gt;15000,"High","Low")</f>
        <v>Low</v>
      </c>
    </row>
    <row r="781" spans="1:11" x14ac:dyDescent="0.35">
      <c r="A781">
        <v>53</v>
      </c>
      <c r="B781" t="s">
        <v>7</v>
      </c>
      <c r="C781">
        <v>28.88</v>
      </c>
      <c r="D781">
        <v>0</v>
      </c>
      <c r="E781" t="s">
        <v>4</v>
      </c>
      <c r="F781" t="s">
        <v>0</v>
      </c>
      <c r="G781" s="2">
        <v>9869.8101999999999</v>
      </c>
      <c r="H781" s="1" t="str">
        <f>IF(A781&lt;31,"18-30",IF(A781&lt;46,"31-45",IF(A781&lt;61,"46-60","60+")))</f>
        <v>46-60</v>
      </c>
      <c r="I781" t="str">
        <f>IF(C781&lt;18.5,"Underweight",IF(C781&lt;25,"Normal",IF(C781&lt;30,"Overweight","Obese")))</f>
        <v>Overweight</v>
      </c>
      <c r="J781">
        <f>IF(E781="yes",1,0)</f>
        <v>0</v>
      </c>
      <c r="K781" t="str">
        <f>IF(G781&gt;15000,"High","Low")</f>
        <v>Low</v>
      </c>
    </row>
    <row r="782" spans="1:11" x14ac:dyDescent="0.35">
      <c r="A782">
        <v>30</v>
      </c>
      <c r="B782" t="s">
        <v>7</v>
      </c>
      <c r="C782">
        <v>24.4</v>
      </c>
      <c r="D782">
        <v>3</v>
      </c>
      <c r="E782" t="s">
        <v>1</v>
      </c>
      <c r="F782" t="s">
        <v>3</v>
      </c>
      <c r="G782" s="2">
        <v>18259.216</v>
      </c>
      <c r="H782" s="1" t="str">
        <f>IF(A782&lt;31,"18-30",IF(A782&lt;46,"31-45",IF(A782&lt;61,"46-60","60+")))</f>
        <v>18-30</v>
      </c>
      <c r="I782" t="str">
        <f>IF(C782&lt;18.5,"Underweight",IF(C782&lt;25,"Normal",IF(C782&lt;30,"Overweight","Obese")))</f>
        <v>Normal</v>
      </c>
      <c r="J782">
        <f>IF(E782="yes",1,0)</f>
        <v>1</v>
      </c>
      <c r="K782" t="str">
        <f>IF(G782&gt;15000,"High","Low")</f>
        <v>High</v>
      </c>
    </row>
    <row r="783" spans="1:11" x14ac:dyDescent="0.35">
      <c r="A783">
        <v>18</v>
      </c>
      <c r="B783" t="s">
        <v>7</v>
      </c>
      <c r="C783">
        <v>41.14</v>
      </c>
      <c r="D783">
        <v>0</v>
      </c>
      <c r="E783" t="s">
        <v>4</v>
      </c>
      <c r="F783" t="s">
        <v>5</v>
      </c>
      <c r="G783" s="2">
        <v>1146.7965999999999</v>
      </c>
      <c r="H783" s="1" t="str">
        <f>IF(A783&lt;31,"18-30",IF(A783&lt;46,"31-45",IF(A783&lt;61,"46-60","60+")))</f>
        <v>18-30</v>
      </c>
      <c r="I783" t="str">
        <f>IF(C783&lt;18.5,"Underweight",IF(C783&lt;25,"Normal",IF(C783&lt;30,"Overweight","Obese")))</f>
        <v>Obese</v>
      </c>
      <c r="J783">
        <f>IF(E783="yes",1,0)</f>
        <v>0</v>
      </c>
      <c r="K783" t="str">
        <f>IF(G783&gt;15000,"High","Low")</f>
        <v>Low</v>
      </c>
    </row>
    <row r="784" spans="1:11" x14ac:dyDescent="0.35">
      <c r="A784">
        <v>51</v>
      </c>
      <c r="B784" t="s">
        <v>7</v>
      </c>
      <c r="C784">
        <v>35.97</v>
      </c>
      <c r="D784">
        <v>1</v>
      </c>
      <c r="E784" t="s">
        <v>4</v>
      </c>
      <c r="F784" t="s">
        <v>5</v>
      </c>
      <c r="G784" s="2">
        <v>9386.1612999999998</v>
      </c>
      <c r="H784" s="1" t="str">
        <f>IF(A784&lt;31,"18-30",IF(A784&lt;46,"31-45",IF(A784&lt;61,"46-60","60+")))</f>
        <v>46-60</v>
      </c>
      <c r="I784" t="str">
        <f>IF(C784&lt;18.5,"Underweight",IF(C784&lt;25,"Normal",IF(C784&lt;30,"Overweight","Obese")))</f>
        <v>Obese</v>
      </c>
      <c r="J784">
        <f>IF(E784="yes",1,0)</f>
        <v>0</v>
      </c>
      <c r="K784" t="str">
        <f>IF(G784&gt;15000,"High","Low")</f>
        <v>Low</v>
      </c>
    </row>
    <row r="785" spans="1:11" x14ac:dyDescent="0.35">
      <c r="A785">
        <v>50</v>
      </c>
      <c r="B785" t="s">
        <v>2</v>
      </c>
      <c r="C785">
        <v>27.6</v>
      </c>
      <c r="D785">
        <v>1</v>
      </c>
      <c r="E785" t="s">
        <v>1</v>
      </c>
      <c r="F785" t="s">
        <v>3</v>
      </c>
      <c r="G785" s="2">
        <v>24520.263999999999</v>
      </c>
      <c r="H785" s="1" t="str">
        <f>IF(A785&lt;31,"18-30",IF(A785&lt;46,"31-45",IF(A785&lt;61,"46-60","60+")))</f>
        <v>46-60</v>
      </c>
      <c r="I785" t="str">
        <f>IF(C785&lt;18.5,"Underweight",IF(C785&lt;25,"Normal",IF(C785&lt;30,"Overweight","Obese")))</f>
        <v>Overweight</v>
      </c>
      <c r="J785">
        <f>IF(E785="yes",1,0)</f>
        <v>1</v>
      </c>
      <c r="K785" t="str">
        <f>IF(G785&gt;15000,"High","Low")</f>
        <v>High</v>
      </c>
    </row>
    <row r="786" spans="1:11" x14ac:dyDescent="0.35">
      <c r="A786">
        <v>31</v>
      </c>
      <c r="B786" t="s">
        <v>2</v>
      </c>
      <c r="C786">
        <v>29.26</v>
      </c>
      <c r="D786">
        <v>1</v>
      </c>
      <c r="E786" t="s">
        <v>4</v>
      </c>
      <c r="F786" t="s">
        <v>5</v>
      </c>
      <c r="G786" s="2">
        <v>4350.5144</v>
      </c>
      <c r="H786" s="1" t="str">
        <f>IF(A786&lt;31,"18-30",IF(A786&lt;46,"31-45",IF(A786&lt;61,"46-60","60+")))</f>
        <v>31-45</v>
      </c>
      <c r="I786" t="str">
        <f>IF(C786&lt;18.5,"Underweight",IF(C786&lt;25,"Normal",IF(C786&lt;30,"Overweight","Obese")))</f>
        <v>Overweight</v>
      </c>
      <c r="J786">
        <f>IF(E786="yes",1,0)</f>
        <v>0</v>
      </c>
      <c r="K786" t="str">
        <f>IF(G786&gt;15000,"High","Low")</f>
        <v>Low</v>
      </c>
    </row>
    <row r="787" spans="1:11" x14ac:dyDescent="0.35">
      <c r="A787">
        <v>35</v>
      </c>
      <c r="B787" t="s">
        <v>2</v>
      </c>
      <c r="C787">
        <v>27.7</v>
      </c>
      <c r="D787">
        <v>3</v>
      </c>
      <c r="E787" t="s">
        <v>4</v>
      </c>
      <c r="F787" t="s">
        <v>3</v>
      </c>
      <c r="G787" s="2">
        <v>6414.1779999999999</v>
      </c>
      <c r="H787" s="1" t="str">
        <f>IF(A787&lt;31,"18-30",IF(A787&lt;46,"31-45",IF(A787&lt;61,"46-60","60+")))</f>
        <v>31-45</v>
      </c>
      <c r="I787" t="str">
        <f>IF(C787&lt;18.5,"Underweight",IF(C787&lt;25,"Normal",IF(C787&lt;30,"Overweight","Obese")))</f>
        <v>Overweight</v>
      </c>
      <c r="J787">
        <f>IF(E787="yes",1,0)</f>
        <v>0</v>
      </c>
      <c r="K787" t="str">
        <f>IF(G787&gt;15000,"High","Low")</f>
        <v>Low</v>
      </c>
    </row>
    <row r="788" spans="1:11" x14ac:dyDescent="0.35">
      <c r="A788">
        <v>60</v>
      </c>
      <c r="B788" t="s">
        <v>7</v>
      </c>
      <c r="C788">
        <v>36.954999999999998</v>
      </c>
      <c r="D788">
        <v>0</v>
      </c>
      <c r="E788" t="s">
        <v>4</v>
      </c>
      <c r="F788" t="s">
        <v>6</v>
      </c>
      <c r="G788" s="2">
        <v>12741.167450000001</v>
      </c>
      <c r="H788" s="1" t="str">
        <f>IF(A788&lt;31,"18-30",IF(A788&lt;46,"31-45",IF(A788&lt;61,"46-60","60+")))</f>
        <v>46-60</v>
      </c>
      <c r="I788" t="str">
        <f>IF(C788&lt;18.5,"Underweight",IF(C788&lt;25,"Normal",IF(C788&lt;30,"Overweight","Obese")))</f>
        <v>Obese</v>
      </c>
      <c r="J788">
        <f>IF(E788="yes",1,0)</f>
        <v>0</v>
      </c>
      <c r="K788" t="str">
        <f>IF(G788&gt;15000,"High","Low")</f>
        <v>Low</v>
      </c>
    </row>
    <row r="789" spans="1:11" x14ac:dyDescent="0.35">
      <c r="A789">
        <v>21</v>
      </c>
      <c r="B789" t="s">
        <v>7</v>
      </c>
      <c r="C789">
        <v>36.86</v>
      </c>
      <c r="D789">
        <v>0</v>
      </c>
      <c r="E789" t="s">
        <v>4</v>
      </c>
      <c r="F789" t="s">
        <v>0</v>
      </c>
      <c r="G789" s="2">
        <v>1917.3184000000001</v>
      </c>
      <c r="H789" s="1" t="str">
        <f>IF(A789&lt;31,"18-30",IF(A789&lt;46,"31-45",IF(A789&lt;61,"46-60","60+")))</f>
        <v>18-30</v>
      </c>
      <c r="I789" t="str">
        <f>IF(C789&lt;18.5,"Underweight",IF(C789&lt;25,"Normal",IF(C789&lt;30,"Overweight","Obese")))</f>
        <v>Obese</v>
      </c>
      <c r="J789">
        <f>IF(E789="yes",1,0)</f>
        <v>0</v>
      </c>
      <c r="K789" t="str">
        <f>IF(G789&gt;15000,"High","Low")</f>
        <v>Low</v>
      </c>
    </row>
    <row r="790" spans="1:11" x14ac:dyDescent="0.35">
      <c r="A790">
        <v>29</v>
      </c>
      <c r="B790" t="s">
        <v>7</v>
      </c>
      <c r="C790">
        <v>22.515000000000001</v>
      </c>
      <c r="D790">
        <v>3</v>
      </c>
      <c r="E790" t="s">
        <v>4</v>
      </c>
      <c r="F790" t="s">
        <v>6</v>
      </c>
      <c r="G790" s="2">
        <v>5209.5788499999999</v>
      </c>
      <c r="H790" s="1" t="str">
        <f>IF(A790&lt;31,"18-30",IF(A790&lt;46,"31-45",IF(A790&lt;61,"46-60","60+")))</f>
        <v>18-30</v>
      </c>
      <c r="I790" t="str">
        <f>IF(C790&lt;18.5,"Underweight",IF(C790&lt;25,"Normal",IF(C790&lt;30,"Overweight","Obese")))</f>
        <v>Normal</v>
      </c>
      <c r="J790">
        <f>IF(E790="yes",1,0)</f>
        <v>0</v>
      </c>
      <c r="K790" t="str">
        <f>IF(G790&gt;15000,"High","Low")</f>
        <v>Low</v>
      </c>
    </row>
    <row r="791" spans="1:11" x14ac:dyDescent="0.35">
      <c r="A791">
        <v>62</v>
      </c>
      <c r="B791" t="s">
        <v>2</v>
      </c>
      <c r="C791">
        <v>29.92</v>
      </c>
      <c r="D791">
        <v>0</v>
      </c>
      <c r="E791" t="s">
        <v>4</v>
      </c>
      <c r="F791" t="s">
        <v>5</v>
      </c>
      <c r="G791" s="2">
        <v>13457.960800000001</v>
      </c>
      <c r="H791" s="1" t="str">
        <f>IF(A791&lt;31,"18-30",IF(A791&lt;46,"31-45",IF(A791&lt;61,"46-60","60+")))</f>
        <v>60+</v>
      </c>
      <c r="I791" t="str">
        <f>IF(C791&lt;18.5,"Underweight",IF(C791&lt;25,"Normal",IF(C791&lt;30,"Overweight","Obese")))</f>
        <v>Overweight</v>
      </c>
      <c r="J791">
        <f>IF(E791="yes",1,0)</f>
        <v>0</v>
      </c>
      <c r="K791" t="str">
        <f>IF(G791&gt;15000,"High","Low")</f>
        <v>Low</v>
      </c>
    </row>
    <row r="792" spans="1:11" x14ac:dyDescent="0.35">
      <c r="A792">
        <v>39</v>
      </c>
      <c r="B792" t="s">
        <v>2</v>
      </c>
      <c r="C792">
        <v>41.8</v>
      </c>
      <c r="D792">
        <v>0</v>
      </c>
      <c r="E792" t="s">
        <v>4</v>
      </c>
      <c r="F792" t="s">
        <v>5</v>
      </c>
      <c r="G792" s="2">
        <v>5662.2250000000004</v>
      </c>
      <c r="H792" s="1" t="str">
        <f>IF(A792&lt;31,"18-30",IF(A792&lt;46,"31-45",IF(A792&lt;61,"46-60","60+")))</f>
        <v>31-45</v>
      </c>
      <c r="I792" t="str">
        <f>IF(C792&lt;18.5,"Underweight",IF(C792&lt;25,"Normal",IF(C792&lt;30,"Overweight","Obese")))</f>
        <v>Obese</v>
      </c>
      <c r="J792">
        <f>IF(E792="yes",1,0)</f>
        <v>0</v>
      </c>
      <c r="K792" t="str">
        <f>IF(G792&gt;15000,"High","Low")</f>
        <v>Low</v>
      </c>
    </row>
    <row r="793" spans="1:11" x14ac:dyDescent="0.35">
      <c r="A793">
        <v>19</v>
      </c>
      <c r="B793" t="s">
        <v>7</v>
      </c>
      <c r="C793">
        <v>27.6</v>
      </c>
      <c r="D793">
        <v>0</v>
      </c>
      <c r="E793" t="s">
        <v>4</v>
      </c>
      <c r="F793" t="s">
        <v>3</v>
      </c>
      <c r="G793" s="2">
        <v>1252.4069999999999</v>
      </c>
      <c r="H793" s="1" t="str">
        <f>IF(A793&lt;31,"18-30",IF(A793&lt;46,"31-45",IF(A793&lt;61,"46-60","60+")))</f>
        <v>18-30</v>
      </c>
      <c r="I793" t="str">
        <f>IF(C793&lt;18.5,"Underweight",IF(C793&lt;25,"Normal",IF(C793&lt;30,"Overweight","Obese")))</f>
        <v>Overweight</v>
      </c>
      <c r="J793">
        <f>IF(E793="yes",1,0)</f>
        <v>0</v>
      </c>
      <c r="K793" t="str">
        <f>IF(G793&gt;15000,"High","Low")</f>
        <v>Low</v>
      </c>
    </row>
    <row r="794" spans="1:11" x14ac:dyDescent="0.35">
      <c r="A794">
        <v>22</v>
      </c>
      <c r="B794" t="s">
        <v>2</v>
      </c>
      <c r="C794">
        <v>23.18</v>
      </c>
      <c r="D794">
        <v>0</v>
      </c>
      <c r="E794" t="s">
        <v>4</v>
      </c>
      <c r="F794" t="s">
        <v>6</v>
      </c>
      <c r="G794" s="2">
        <v>2731.9122000000002</v>
      </c>
      <c r="H794" s="1" t="str">
        <f>IF(A794&lt;31,"18-30",IF(A794&lt;46,"31-45",IF(A794&lt;61,"46-60","60+")))</f>
        <v>18-30</v>
      </c>
      <c r="I794" t="str">
        <f>IF(C794&lt;18.5,"Underweight",IF(C794&lt;25,"Normal",IF(C794&lt;30,"Overweight","Obese")))</f>
        <v>Normal</v>
      </c>
      <c r="J794">
        <f>IF(E794="yes",1,0)</f>
        <v>0</v>
      </c>
      <c r="K794" t="str">
        <f>IF(G794&gt;15000,"High","Low")</f>
        <v>Low</v>
      </c>
    </row>
    <row r="795" spans="1:11" x14ac:dyDescent="0.35">
      <c r="A795">
        <v>53</v>
      </c>
      <c r="B795" t="s">
        <v>7</v>
      </c>
      <c r="C795">
        <v>20.9</v>
      </c>
      <c r="D795">
        <v>0</v>
      </c>
      <c r="E795" t="s">
        <v>1</v>
      </c>
      <c r="F795" t="s">
        <v>5</v>
      </c>
      <c r="G795" s="2">
        <v>21195.817999999999</v>
      </c>
      <c r="H795" s="1" t="str">
        <f>IF(A795&lt;31,"18-30",IF(A795&lt;46,"31-45",IF(A795&lt;61,"46-60","60+")))</f>
        <v>46-60</v>
      </c>
      <c r="I795" t="str">
        <f>IF(C795&lt;18.5,"Underweight",IF(C795&lt;25,"Normal",IF(C795&lt;30,"Overweight","Obese")))</f>
        <v>Normal</v>
      </c>
      <c r="J795">
        <f>IF(E795="yes",1,0)</f>
        <v>1</v>
      </c>
      <c r="K795" t="str">
        <f>IF(G795&gt;15000,"High","Low")</f>
        <v>High</v>
      </c>
    </row>
    <row r="796" spans="1:11" x14ac:dyDescent="0.35">
      <c r="A796">
        <v>39</v>
      </c>
      <c r="B796" t="s">
        <v>2</v>
      </c>
      <c r="C796">
        <v>31.92</v>
      </c>
      <c r="D796">
        <v>2</v>
      </c>
      <c r="E796" t="s">
        <v>4</v>
      </c>
      <c r="F796" t="s">
        <v>0</v>
      </c>
      <c r="G796" s="2">
        <v>7209.4917999999998</v>
      </c>
      <c r="H796" s="1" t="str">
        <f>IF(A796&lt;31,"18-30",IF(A796&lt;46,"31-45",IF(A796&lt;61,"46-60","60+")))</f>
        <v>31-45</v>
      </c>
      <c r="I796" t="str">
        <f>IF(C796&lt;18.5,"Underweight",IF(C796&lt;25,"Normal",IF(C796&lt;30,"Overweight","Obese")))</f>
        <v>Obese</v>
      </c>
      <c r="J796">
        <f>IF(E796="yes",1,0)</f>
        <v>0</v>
      </c>
      <c r="K796" t="str">
        <f>IF(G796&gt;15000,"High","Low")</f>
        <v>Low</v>
      </c>
    </row>
    <row r="797" spans="1:11" x14ac:dyDescent="0.35">
      <c r="A797">
        <v>27</v>
      </c>
      <c r="B797" t="s">
        <v>7</v>
      </c>
      <c r="C797">
        <v>28.5</v>
      </c>
      <c r="D797">
        <v>0</v>
      </c>
      <c r="E797" t="s">
        <v>1</v>
      </c>
      <c r="F797" t="s">
        <v>0</v>
      </c>
      <c r="G797" s="2">
        <v>18310.741999999998</v>
      </c>
      <c r="H797" s="1" t="str">
        <f>IF(A797&lt;31,"18-30",IF(A797&lt;46,"31-45",IF(A797&lt;61,"46-60","60+")))</f>
        <v>18-30</v>
      </c>
      <c r="I797" t="str">
        <f>IF(C797&lt;18.5,"Underweight",IF(C797&lt;25,"Normal",IF(C797&lt;30,"Overweight","Obese")))</f>
        <v>Overweight</v>
      </c>
      <c r="J797">
        <f>IF(E797="yes",1,0)</f>
        <v>1</v>
      </c>
      <c r="K797" t="str">
        <f>IF(G797&gt;15000,"High","Low")</f>
        <v>High</v>
      </c>
    </row>
    <row r="798" spans="1:11" x14ac:dyDescent="0.35">
      <c r="A798">
        <v>30</v>
      </c>
      <c r="B798" t="s">
        <v>7</v>
      </c>
      <c r="C798">
        <v>44.22</v>
      </c>
      <c r="D798">
        <v>2</v>
      </c>
      <c r="E798" t="s">
        <v>4</v>
      </c>
      <c r="F798" t="s">
        <v>5</v>
      </c>
      <c r="G798" s="2">
        <v>4266.1657999999998</v>
      </c>
      <c r="H798" s="1" t="str">
        <f>IF(A798&lt;31,"18-30",IF(A798&lt;46,"31-45",IF(A798&lt;61,"46-60","60+")))</f>
        <v>18-30</v>
      </c>
      <c r="I798" t="str">
        <f>IF(C798&lt;18.5,"Underweight",IF(C798&lt;25,"Normal",IF(C798&lt;30,"Overweight","Obese")))</f>
        <v>Obese</v>
      </c>
      <c r="J798">
        <f>IF(E798="yes",1,0)</f>
        <v>0</v>
      </c>
      <c r="K798" t="str">
        <f>IF(G798&gt;15000,"High","Low")</f>
        <v>Low</v>
      </c>
    </row>
    <row r="799" spans="1:11" x14ac:dyDescent="0.35">
      <c r="A799">
        <v>30</v>
      </c>
      <c r="B799" t="s">
        <v>2</v>
      </c>
      <c r="C799">
        <v>22.895</v>
      </c>
      <c r="D799">
        <v>1</v>
      </c>
      <c r="E799" t="s">
        <v>4</v>
      </c>
      <c r="F799" t="s">
        <v>6</v>
      </c>
      <c r="G799" s="2">
        <v>4719.52405</v>
      </c>
      <c r="H799" s="1" t="str">
        <f>IF(A799&lt;31,"18-30",IF(A799&lt;46,"31-45",IF(A799&lt;61,"46-60","60+")))</f>
        <v>18-30</v>
      </c>
      <c r="I799" t="str">
        <f>IF(C799&lt;18.5,"Underweight",IF(C799&lt;25,"Normal",IF(C799&lt;30,"Overweight","Obese")))</f>
        <v>Normal</v>
      </c>
      <c r="J799">
        <f>IF(E799="yes",1,0)</f>
        <v>0</v>
      </c>
      <c r="K799" t="str">
        <f>IF(G799&gt;15000,"High","Low")</f>
        <v>Low</v>
      </c>
    </row>
    <row r="800" spans="1:11" x14ac:dyDescent="0.35">
      <c r="A800">
        <v>58</v>
      </c>
      <c r="B800" t="s">
        <v>2</v>
      </c>
      <c r="C800">
        <v>33.1</v>
      </c>
      <c r="D800">
        <v>0</v>
      </c>
      <c r="E800" t="s">
        <v>4</v>
      </c>
      <c r="F800" t="s">
        <v>3</v>
      </c>
      <c r="G800" s="2">
        <v>11848.141</v>
      </c>
      <c r="H800" s="1" t="str">
        <f>IF(A800&lt;31,"18-30",IF(A800&lt;46,"31-45",IF(A800&lt;61,"46-60","60+")))</f>
        <v>46-60</v>
      </c>
      <c r="I800" t="str">
        <f>IF(C800&lt;18.5,"Underweight",IF(C800&lt;25,"Normal",IF(C800&lt;30,"Overweight","Obese")))</f>
        <v>Obese</v>
      </c>
      <c r="J800">
        <f>IF(E800="yes",1,0)</f>
        <v>0</v>
      </c>
      <c r="K800" t="str">
        <f>IF(G800&gt;15000,"High","Low")</f>
        <v>Low</v>
      </c>
    </row>
    <row r="801" spans="1:11" x14ac:dyDescent="0.35">
      <c r="A801">
        <v>33</v>
      </c>
      <c r="B801" t="s">
        <v>7</v>
      </c>
      <c r="C801">
        <v>24.795000000000002</v>
      </c>
      <c r="D801">
        <v>0</v>
      </c>
      <c r="E801" t="s">
        <v>1</v>
      </c>
      <c r="F801" t="s">
        <v>6</v>
      </c>
      <c r="G801" s="2">
        <v>17904.527050000001</v>
      </c>
      <c r="H801" s="1" t="str">
        <f>IF(A801&lt;31,"18-30",IF(A801&lt;46,"31-45",IF(A801&lt;61,"46-60","60+")))</f>
        <v>31-45</v>
      </c>
      <c r="I801" t="str">
        <f>IF(C801&lt;18.5,"Underweight",IF(C801&lt;25,"Normal",IF(C801&lt;30,"Overweight","Obese")))</f>
        <v>Normal</v>
      </c>
      <c r="J801">
        <f>IF(E801="yes",1,0)</f>
        <v>1</v>
      </c>
      <c r="K801" t="str">
        <f>IF(G801&gt;15000,"High","Low")</f>
        <v>High</v>
      </c>
    </row>
    <row r="802" spans="1:11" x14ac:dyDescent="0.35">
      <c r="A802">
        <v>42</v>
      </c>
      <c r="B802" t="s">
        <v>2</v>
      </c>
      <c r="C802">
        <v>26.18</v>
      </c>
      <c r="D802">
        <v>1</v>
      </c>
      <c r="E802" t="s">
        <v>4</v>
      </c>
      <c r="F802" t="s">
        <v>5</v>
      </c>
      <c r="G802" s="2">
        <v>7046.7222000000002</v>
      </c>
      <c r="H802" s="1" t="str">
        <f>IF(A802&lt;31,"18-30",IF(A802&lt;46,"31-45",IF(A802&lt;61,"46-60","60+")))</f>
        <v>31-45</v>
      </c>
      <c r="I802" t="str">
        <f>IF(C802&lt;18.5,"Underweight",IF(C802&lt;25,"Normal",IF(C802&lt;30,"Overweight","Obese")))</f>
        <v>Overweight</v>
      </c>
      <c r="J802">
        <f>IF(E802="yes",1,0)</f>
        <v>0</v>
      </c>
      <c r="K802" t="str">
        <f>IF(G802&gt;15000,"High","Low")</f>
        <v>Low</v>
      </c>
    </row>
    <row r="803" spans="1:11" x14ac:dyDescent="0.35">
      <c r="A803">
        <v>64</v>
      </c>
      <c r="B803" t="s">
        <v>2</v>
      </c>
      <c r="C803">
        <v>35.97</v>
      </c>
      <c r="D803">
        <v>0</v>
      </c>
      <c r="E803" t="s">
        <v>4</v>
      </c>
      <c r="F803" t="s">
        <v>5</v>
      </c>
      <c r="G803" s="2">
        <v>14313.846299999999</v>
      </c>
      <c r="H803" s="1" t="str">
        <f>IF(A803&lt;31,"18-30",IF(A803&lt;46,"31-45",IF(A803&lt;61,"46-60","60+")))</f>
        <v>60+</v>
      </c>
      <c r="I803" t="str">
        <f>IF(C803&lt;18.5,"Underweight",IF(C803&lt;25,"Normal",IF(C803&lt;30,"Overweight","Obese")))</f>
        <v>Obese</v>
      </c>
      <c r="J803">
        <f>IF(E803="yes",1,0)</f>
        <v>0</v>
      </c>
      <c r="K803" t="str">
        <f>IF(G803&gt;15000,"High","Low")</f>
        <v>Low</v>
      </c>
    </row>
    <row r="804" spans="1:11" x14ac:dyDescent="0.35">
      <c r="A804">
        <v>21</v>
      </c>
      <c r="B804" t="s">
        <v>7</v>
      </c>
      <c r="C804">
        <v>22.3</v>
      </c>
      <c r="D804">
        <v>1</v>
      </c>
      <c r="E804" t="s">
        <v>4</v>
      </c>
      <c r="F804" t="s">
        <v>3</v>
      </c>
      <c r="G804" s="2">
        <v>2103.08</v>
      </c>
      <c r="H804" s="1" t="str">
        <f>IF(A804&lt;31,"18-30",IF(A804&lt;46,"31-45",IF(A804&lt;61,"46-60","60+")))</f>
        <v>18-30</v>
      </c>
      <c r="I804" t="str">
        <f>IF(C804&lt;18.5,"Underweight",IF(C804&lt;25,"Normal",IF(C804&lt;30,"Overweight","Obese")))</f>
        <v>Normal</v>
      </c>
      <c r="J804">
        <f>IF(E804="yes",1,0)</f>
        <v>0</v>
      </c>
      <c r="K804" t="str">
        <f>IF(G804&gt;15000,"High","Low")</f>
        <v>Low</v>
      </c>
    </row>
    <row r="805" spans="1:11" x14ac:dyDescent="0.35">
      <c r="A805">
        <v>18</v>
      </c>
      <c r="B805" t="s">
        <v>2</v>
      </c>
      <c r="C805">
        <v>42.24</v>
      </c>
      <c r="D805">
        <v>0</v>
      </c>
      <c r="E805" t="s">
        <v>1</v>
      </c>
      <c r="F805" t="s">
        <v>5</v>
      </c>
      <c r="G805" s="2">
        <v>38792.685599999997</v>
      </c>
      <c r="H805" s="1" t="str">
        <f>IF(A805&lt;31,"18-30",IF(A805&lt;46,"31-45",IF(A805&lt;61,"46-60","60+")))</f>
        <v>18-30</v>
      </c>
      <c r="I805" t="str">
        <f>IF(C805&lt;18.5,"Underweight",IF(C805&lt;25,"Normal",IF(C805&lt;30,"Overweight","Obese")))</f>
        <v>Obese</v>
      </c>
      <c r="J805">
        <f>IF(E805="yes",1,0)</f>
        <v>1</v>
      </c>
      <c r="K805" t="str">
        <f>IF(G805&gt;15000,"High","Low")</f>
        <v>High</v>
      </c>
    </row>
    <row r="806" spans="1:11" x14ac:dyDescent="0.35">
      <c r="A806">
        <v>23</v>
      </c>
      <c r="B806" t="s">
        <v>7</v>
      </c>
      <c r="C806">
        <v>26.51</v>
      </c>
      <c r="D806">
        <v>0</v>
      </c>
      <c r="E806" t="s">
        <v>4</v>
      </c>
      <c r="F806" t="s">
        <v>5</v>
      </c>
      <c r="G806" s="2">
        <v>1815.8759</v>
      </c>
      <c r="H806" s="1" t="str">
        <f>IF(A806&lt;31,"18-30",IF(A806&lt;46,"31-45",IF(A806&lt;61,"46-60","60+")))</f>
        <v>18-30</v>
      </c>
      <c r="I806" t="str">
        <f>IF(C806&lt;18.5,"Underweight",IF(C806&lt;25,"Normal",IF(C806&lt;30,"Overweight","Obese")))</f>
        <v>Overweight</v>
      </c>
      <c r="J806">
        <f>IF(E806="yes",1,0)</f>
        <v>0</v>
      </c>
      <c r="K806" t="str">
        <f>IF(G806&gt;15000,"High","Low")</f>
        <v>Low</v>
      </c>
    </row>
    <row r="807" spans="1:11" x14ac:dyDescent="0.35">
      <c r="A807">
        <v>45</v>
      </c>
      <c r="B807" t="s">
        <v>2</v>
      </c>
      <c r="C807">
        <v>35.814999999999998</v>
      </c>
      <c r="D807">
        <v>0</v>
      </c>
      <c r="E807" t="s">
        <v>4</v>
      </c>
      <c r="F807" t="s">
        <v>0</v>
      </c>
      <c r="G807" s="2">
        <v>7731.8578500000003</v>
      </c>
      <c r="H807" s="1" t="str">
        <f>IF(A807&lt;31,"18-30",IF(A807&lt;46,"31-45",IF(A807&lt;61,"46-60","60+")))</f>
        <v>31-45</v>
      </c>
      <c r="I807" t="str">
        <f>IF(C807&lt;18.5,"Underweight",IF(C807&lt;25,"Normal",IF(C807&lt;30,"Overweight","Obese")))</f>
        <v>Obese</v>
      </c>
      <c r="J807">
        <f>IF(E807="yes",1,0)</f>
        <v>0</v>
      </c>
      <c r="K807" t="str">
        <f>IF(G807&gt;15000,"High","Low")</f>
        <v>Low</v>
      </c>
    </row>
    <row r="808" spans="1:11" x14ac:dyDescent="0.35">
      <c r="A808">
        <v>40</v>
      </c>
      <c r="B808" t="s">
        <v>2</v>
      </c>
      <c r="C808">
        <v>41.42</v>
      </c>
      <c r="D808">
        <v>1</v>
      </c>
      <c r="E808" t="s">
        <v>4</v>
      </c>
      <c r="F808" t="s">
        <v>0</v>
      </c>
      <c r="G808" s="2">
        <v>28476.734990000001</v>
      </c>
      <c r="H808" s="1" t="str">
        <f>IF(A808&lt;31,"18-30",IF(A808&lt;46,"31-45",IF(A808&lt;61,"46-60","60+")))</f>
        <v>31-45</v>
      </c>
      <c r="I808" t="str">
        <f>IF(C808&lt;18.5,"Underweight",IF(C808&lt;25,"Normal",IF(C808&lt;30,"Overweight","Obese")))</f>
        <v>Obese</v>
      </c>
      <c r="J808">
        <f>IF(E808="yes",1,0)</f>
        <v>0</v>
      </c>
      <c r="K808" t="str">
        <f>IF(G808&gt;15000,"High","Low")</f>
        <v>High</v>
      </c>
    </row>
    <row r="809" spans="1:11" x14ac:dyDescent="0.35">
      <c r="A809">
        <v>19</v>
      </c>
      <c r="B809" t="s">
        <v>2</v>
      </c>
      <c r="C809">
        <v>36.575000000000003</v>
      </c>
      <c r="D809">
        <v>0</v>
      </c>
      <c r="E809" t="s">
        <v>4</v>
      </c>
      <c r="F809" t="s">
        <v>0</v>
      </c>
      <c r="G809" s="2">
        <v>2136.8822500000001</v>
      </c>
      <c r="H809" s="1" t="str">
        <f>IF(A809&lt;31,"18-30",IF(A809&lt;46,"31-45",IF(A809&lt;61,"46-60","60+")))</f>
        <v>18-30</v>
      </c>
      <c r="I809" t="str">
        <f>IF(C809&lt;18.5,"Underweight",IF(C809&lt;25,"Normal",IF(C809&lt;30,"Overweight","Obese")))</f>
        <v>Obese</v>
      </c>
      <c r="J809">
        <f>IF(E809="yes",1,0)</f>
        <v>0</v>
      </c>
      <c r="K809" t="str">
        <f>IF(G809&gt;15000,"High","Low")</f>
        <v>Low</v>
      </c>
    </row>
    <row r="810" spans="1:11" x14ac:dyDescent="0.35">
      <c r="A810">
        <v>18</v>
      </c>
      <c r="B810" t="s">
        <v>7</v>
      </c>
      <c r="C810">
        <v>30.14</v>
      </c>
      <c r="D810">
        <v>0</v>
      </c>
      <c r="E810" t="s">
        <v>4</v>
      </c>
      <c r="F810" t="s">
        <v>5</v>
      </c>
      <c r="G810" s="2">
        <v>1131.5065999999999</v>
      </c>
      <c r="H810" s="1" t="str">
        <f>IF(A810&lt;31,"18-30",IF(A810&lt;46,"31-45",IF(A810&lt;61,"46-60","60+")))</f>
        <v>18-30</v>
      </c>
      <c r="I810" t="str">
        <f>IF(C810&lt;18.5,"Underweight",IF(C810&lt;25,"Normal",IF(C810&lt;30,"Overweight","Obese")))</f>
        <v>Obese</v>
      </c>
      <c r="J810">
        <f>IF(E810="yes",1,0)</f>
        <v>0</v>
      </c>
      <c r="K810" t="str">
        <f>IF(G810&gt;15000,"High","Low")</f>
        <v>Low</v>
      </c>
    </row>
    <row r="811" spans="1:11" x14ac:dyDescent="0.35">
      <c r="A811">
        <v>25</v>
      </c>
      <c r="B811" t="s">
        <v>7</v>
      </c>
      <c r="C811">
        <v>25.84</v>
      </c>
      <c r="D811">
        <v>1</v>
      </c>
      <c r="E811" t="s">
        <v>4</v>
      </c>
      <c r="F811" t="s">
        <v>6</v>
      </c>
      <c r="G811" s="2">
        <v>3309.7926000000002</v>
      </c>
      <c r="H811" s="1" t="str">
        <f>IF(A811&lt;31,"18-30",IF(A811&lt;46,"31-45",IF(A811&lt;61,"46-60","60+")))</f>
        <v>18-30</v>
      </c>
      <c r="I811" t="str">
        <f>IF(C811&lt;18.5,"Underweight",IF(C811&lt;25,"Normal",IF(C811&lt;30,"Overweight","Obese")))</f>
        <v>Overweight</v>
      </c>
      <c r="J811">
        <f>IF(E811="yes",1,0)</f>
        <v>0</v>
      </c>
      <c r="K811" t="str">
        <f>IF(G811&gt;15000,"High","Low")</f>
        <v>Low</v>
      </c>
    </row>
    <row r="812" spans="1:11" x14ac:dyDescent="0.35">
      <c r="A812">
        <v>46</v>
      </c>
      <c r="B812" t="s">
        <v>2</v>
      </c>
      <c r="C812">
        <v>30.8</v>
      </c>
      <c r="D812">
        <v>3</v>
      </c>
      <c r="E812" t="s">
        <v>4</v>
      </c>
      <c r="F812" t="s">
        <v>3</v>
      </c>
      <c r="G812" s="2">
        <v>9414.92</v>
      </c>
      <c r="H812" s="1" t="str">
        <f>IF(A812&lt;31,"18-30",IF(A812&lt;46,"31-45",IF(A812&lt;61,"46-60","60+")))</f>
        <v>46-60</v>
      </c>
      <c r="I812" t="str">
        <f>IF(C812&lt;18.5,"Underweight",IF(C812&lt;25,"Normal",IF(C812&lt;30,"Overweight","Obese")))</f>
        <v>Obese</v>
      </c>
      <c r="J812">
        <f>IF(E812="yes",1,0)</f>
        <v>0</v>
      </c>
      <c r="K812" t="str">
        <f>IF(G812&gt;15000,"High","Low")</f>
        <v>Low</v>
      </c>
    </row>
    <row r="813" spans="1:11" x14ac:dyDescent="0.35">
      <c r="A813">
        <v>33</v>
      </c>
      <c r="B813" t="s">
        <v>2</v>
      </c>
      <c r="C813">
        <v>42.94</v>
      </c>
      <c r="D813">
        <v>3</v>
      </c>
      <c r="E813" t="s">
        <v>4</v>
      </c>
      <c r="F813" t="s">
        <v>0</v>
      </c>
      <c r="G813" s="2">
        <v>6360.9935999999998</v>
      </c>
      <c r="H813" s="1" t="str">
        <f>IF(A813&lt;31,"18-30",IF(A813&lt;46,"31-45",IF(A813&lt;61,"46-60","60+")))</f>
        <v>31-45</v>
      </c>
      <c r="I813" t="str">
        <f>IF(C813&lt;18.5,"Underweight",IF(C813&lt;25,"Normal",IF(C813&lt;30,"Overweight","Obese")))</f>
        <v>Obese</v>
      </c>
      <c r="J813">
        <f>IF(E813="yes",1,0)</f>
        <v>0</v>
      </c>
      <c r="K813" t="str">
        <f>IF(G813&gt;15000,"High","Low")</f>
        <v>Low</v>
      </c>
    </row>
    <row r="814" spans="1:11" x14ac:dyDescent="0.35">
      <c r="A814">
        <v>54</v>
      </c>
      <c r="B814" t="s">
        <v>7</v>
      </c>
      <c r="C814">
        <v>21.01</v>
      </c>
      <c r="D814">
        <v>2</v>
      </c>
      <c r="E814" t="s">
        <v>4</v>
      </c>
      <c r="F814" t="s">
        <v>5</v>
      </c>
      <c r="G814" s="2">
        <v>11013.7119</v>
      </c>
      <c r="H814" s="1" t="str">
        <f>IF(A814&lt;31,"18-30",IF(A814&lt;46,"31-45",IF(A814&lt;61,"46-60","60+")))</f>
        <v>46-60</v>
      </c>
      <c r="I814" t="str">
        <f>IF(C814&lt;18.5,"Underweight",IF(C814&lt;25,"Normal",IF(C814&lt;30,"Overweight","Obese")))</f>
        <v>Normal</v>
      </c>
      <c r="J814">
        <f>IF(E814="yes",1,0)</f>
        <v>0</v>
      </c>
      <c r="K814" t="str">
        <f>IF(G814&gt;15000,"High","Low")</f>
        <v>Low</v>
      </c>
    </row>
    <row r="815" spans="1:11" x14ac:dyDescent="0.35">
      <c r="A815">
        <v>28</v>
      </c>
      <c r="B815" t="s">
        <v>7</v>
      </c>
      <c r="C815">
        <v>22.515000000000001</v>
      </c>
      <c r="D815">
        <v>2</v>
      </c>
      <c r="E815" t="s">
        <v>4</v>
      </c>
      <c r="F815" t="s">
        <v>6</v>
      </c>
      <c r="G815" s="2">
        <v>4428.8878500000001</v>
      </c>
      <c r="H815" s="1" t="str">
        <f>IF(A815&lt;31,"18-30",IF(A815&lt;46,"31-45",IF(A815&lt;61,"46-60","60+")))</f>
        <v>18-30</v>
      </c>
      <c r="I815" t="str">
        <f>IF(C815&lt;18.5,"Underweight",IF(C815&lt;25,"Normal",IF(C815&lt;30,"Overweight","Obese")))</f>
        <v>Normal</v>
      </c>
      <c r="J815">
        <f>IF(E815="yes",1,0)</f>
        <v>0</v>
      </c>
      <c r="K815" t="str">
        <f>IF(G815&gt;15000,"High","Low")</f>
        <v>Low</v>
      </c>
    </row>
    <row r="816" spans="1:11" x14ac:dyDescent="0.35">
      <c r="A816">
        <v>36</v>
      </c>
      <c r="B816" t="s">
        <v>7</v>
      </c>
      <c r="C816">
        <v>34.43</v>
      </c>
      <c r="D816">
        <v>2</v>
      </c>
      <c r="E816" t="s">
        <v>4</v>
      </c>
      <c r="F816" t="s">
        <v>5</v>
      </c>
      <c r="G816" s="2">
        <v>5584.3056999999999</v>
      </c>
      <c r="H816" s="1" t="str">
        <f>IF(A816&lt;31,"18-30",IF(A816&lt;46,"31-45",IF(A816&lt;61,"46-60","60+")))</f>
        <v>31-45</v>
      </c>
      <c r="I816" t="str">
        <f>IF(C816&lt;18.5,"Underweight",IF(C816&lt;25,"Normal",IF(C816&lt;30,"Overweight","Obese")))</f>
        <v>Obese</v>
      </c>
      <c r="J816">
        <f>IF(E816="yes",1,0)</f>
        <v>0</v>
      </c>
      <c r="K816" t="str">
        <f>IF(G816&gt;15000,"High","Low")</f>
        <v>Low</v>
      </c>
    </row>
    <row r="817" spans="1:11" x14ac:dyDescent="0.35">
      <c r="A817">
        <v>20</v>
      </c>
      <c r="B817" t="s">
        <v>2</v>
      </c>
      <c r="C817">
        <v>31.46</v>
      </c>
      <c r="D817">
        <v>0</v>
      </c>
      <c r="E817" t="s">
        <v>4</v>
      </c>
      <c r="F817" t="s">
        <v>5</v>
      </c>
      <c r="G817" s="2">
        <v>1877.9294</v>
      </c>
      <c r="H817" s="1" t="str">
        <f>IF(A817&lt;31,"18-30",IF(A817&lt;46,"31-45",IF(A817&lt;61,"46-60","60+")))</f>
        <v>18-30</v>
      </c>
      <c r="I817" t="str">
        <f>IF(C817&lt;18.5,"Underweight",IF(C817&lt;25,"Normal",IF(C817&lt;30,"Overweight","Obese")))</f>
        <v>Obese</v>
      </c>
      <c r="J817">
        <f>IF(E817="yes",1,0)</f>
        <v>0</v>
      </c>
      <c r="K817" t="str">
        <f>IF(G817&gt;15000,"High","Low")</f>
        <v>Low</v>
      </c>
    </row>
    <row r="818" spans="1:11" x14ac:dyDescent="0.35">
      <c r="A818">
        <v>24</v>
      </c>
      <c r="B818" t="s">
        <v>2</v>
      </c>
      <c r="C818">
        <v>24.225000000000001</v>
      </c>
      <c r="D818">
        <v>0</v>
      </c>
      <c r="E818" t="s">
        <v>4</v>
      </c>
      <c r="F818" t="s">
        <v>0</v>
      </c>
      <c r="G818" s="2">
        <v>2842.7607499999999</v>
      </c>
      <c r="H818" s="1" t="str">
        <f>IF(A818&lt;31,"18-30",IF(A818&lt;46,"31-45",IF(A818&lt;61,"46-60","60+")))</f>
        <v>18-30</v>
      </c>
      <c r="I818" t="str">
        <f>IF(C818&lt;18.5,"Underweight",IF(C818&lt;25,"Normal",IF(C818&lt;30,"Overweight","Obese")))</f>
        <v>Normal</v>
      </c>
      <c r="J818">
        <f>IF(E818="yes",1,0)</f>
        <v>0</v>
      </c>
      <c r="K818" t="str">
        <f>IF(G818&gt;15000,"High","Low")</f>
        <v>Low</v>
      </c>
    </row>
    <row r="819" spans="1:11" x14ac:dyDescent="0.35">
      <c r="A819">
        <v>23</v>
      </c>
      <c r="B819" t="s">
        <v>7</v>
      </c>
      <c r="C819">
        <v>37.1</v>
      </c>
      <c r="D819">
        <v>3</v>
      </c>
      <c r="E819" t="s">
        <v>4</v>
      </c>
      <c r="F819" t="s">
        <v>3</v>
      </c>
      <c r="G819" s="2">
        <v>3597.596</v>
      </c>
      <c r="H819" s="1" t="str">
        <f>IF(A819&lt;31,"18-30",IF(A819&lt;46,"31-45",IF(A819&lt;61,"46-60","60+")))</f>
        <v>18-30</v>
      </c>
      <c r="I819" t="str">
        <f>IF(C819&lt;18.5,"Underweight",IF(C819&lt;25,"Normal",IF(C819&lt;30,"Overweight","Obese")))</f>
        <v>Obese</v>
      </c>
      <c r="J819">
        <f>IF(E819="yes",1,0)</f>
        <v>0</v>
      </c>
      <c r="K819" t="str">
        <f>IF(G819&gt;15000,"High","Low")</f>
        <v>Low</v>
      </c>
    </row>
    <row r="820" spans="1:11" x14ac:dyDescent="0.35">
      <c r="A820">
        <v>47</v>
      </c>
      <c r="B820" t="s">
        <v>2</v>
      </c>
      <c r="C820">
        <v>26.125</v>
      </c>
      <c r="D820">
        <v>1</v>
      </c>
      <c r="E820" t="s">
        <v>1</v>
      </c>
      <c r="F820" t="s">
        <v>6</v>
      </c>
      <c r="G820" s="2">
        <v>23401.30575</v>
      </c>
      <c r="H820" s="1" t="str">
        <f>IF(A820&lt;31,"18-30",IF(A820&lt;46,"31-45",IF(A820&lt;61,"46-60","60+")))</f>
        <v>46-60</v>
      </c>
      <c r="I820" t="str">
        <f>IF(C820&lt;18.5,"Underweight",IF(C820&lt;25,"Normal",IF(C820&lt;30,"Overweight","Obese")))</f>
        <v>Overweight</v>
      </c>
      <c r="J820">
        <f>IF(E820="yes",1,0)</f>
        <v>1</v>
      </c>
      <c r="K820" t="str">
        <f>IF(G820&gt;15000,"High","Low")</f>
        <v>High</v>
      </c>
    </row>
    <row r="821" spans="1:11" x14ac:dyDescent="0.35">
      <c r="A821">
        <v>33</v>
      </c>
      <c r="B821" t="s">
        <v>2</v>
      </c>
      <c r="C821">
        <v>35.53</v>
      </c>
      <c r="D821">
        <v>0</v>
      </c>
      <c r="E821" t="s">
        <v>1</v>
      </c>
      <c r="F821" t="s">
        <v>0</v>
      </c>
      <c r="G821" s="2">
        <v>55135.402090000003</v>
      </c>
      <c r="H821" s="1" t="str">
        <f>IF(A821&lt;31,"18-30",IF(A821&lt;46,"31-45",IF(A821&lt;61,"46-60","60+")))</f>
        <v>31-45</v>
      </c>
      <c r="I821" t="str">
        <f>IF(C821&lt;18.5,"Underweight",IF(C821&lt;25,"Normal",IF(C821&lt;30,"Overweight","Obese")))</f>
        <v>Obese</v>
      </c>
      <c r="J821">
        <f>IF(E821="yes",1,0)</f>
        <v>1</v>
      </c>
      <c r="K821" t="str">
        <f>IF(G821&gt;15000,"High","Low")</f>
        <v>High</v>
      </c>
    </row>
    <row r="822" spans="1:11" x14ac:dyDescent="0.35">
      <c r="A822">
        <v>45</v>
      </c>
      <c r="B822" t="s">
        <v>7</v>
      </c>
      <c r="C822">
        <v>33.700000000000003</v>
      </c>
      <c r="D822">
        <v>1</v>
      </c>
      <c r="E822" t="s">
        <v>4</v>
      </c>
      <c r="F822" t="s">
        <v>3</v>
      </c>
      <c r="G822" s="2">
        <v>7445.9179999999997</v>
      </c>
      <c r="H822" s="1" t="str">
        <f>IF(A822&lt;31,"18-30",IF(A822&lt;46,"31-45",IF(A822&lt;61,"46-60","60+")))</f>
        <v>31-45</v>
      </c>
      <c r="I822" t="str">
        <f>IF(C822&lt;18.5,"Underweight",IF(C822&lt;25,"Normal",IF(C822&lt;30,"Overweight","Obese")))</f>
        <v>Obese</v>
      </c>
      <c r="J822">
        <f>IF(E822="yes",1,0)</f>
        <v>0</v>
      </c>
      <c r="K822" t="str">
        <f>IF(G822&gt;15000,"High","Low")</f>
        <v>Low</v>
      </c>
    </row>
    <row r="823" spans="1:11" x14ac:dyDescent="0.35">
      <c r="A823">
        <v>26</v>
      </c>
      <c r="B823" t="s">
        <v>7</v>
      </c>
      <c r="C823">
        <v>17.670000000000002</v>
      </c>
      <c r="D823">
        <v>0</v>
      </c>
      <c r="E823" t="s">
        <v>4</v>
      </c>
      <c r="F823" t="s">
        <v>0</v>
      </c>
      <c r="G823" s="2">
        <v>2680.9493000000002</v>
      </c>
      <c r="H823" s="1" t="str">
        <f>IF(A823&lt;31,"18-30",IF(A823&lt;46,"31-45",IF(A823&lt;61,"46-60","60+")))</f>
        <v>18-30</v>
      </c>
      <c r="I823" t="str">
        <f>IF(C823&lt;18.5,"Underweight",IF(C823&lt;25,"Normal",IF(C823&lt;30,"Overweight","Obese")))</f>
        <v>Underweight</v>
      </c>
      <c r="J823">
        <f>IF(E823="yes",1,0)</f>
        <v>0</v>
      </c>
      <c r="K823" t="str">
        <f>IF(G823&gt;15000,"High","Low")</f>
        <v>Low</v>
      </c>
    </row>
    <row r="824" spans="1:11" x14ac:dyDescent="0.35">
      <c r="A824">
        <v>18</v>
      </c>
      <c r="B824" t="s">
        <v>2</v>
      </c>
      <c r="C824">
        <v>31.13</v>
      </c>
      <c r="D824">
        <v>0</v>
      </c>
      <c r="E824" t="s">
        <v>4</v>
      </c>
      <c r="F824" t="s">
        <v>5</v>
      </c>
      <c r="G824" s="2">
        <v>1621.8827000000001</v>
      </c>
      <c r="H824" s="1" t="str">
        <f>IF(A824&lt;31,"18-30",IF(A824&lt;46,"31-45",IF(A824&lt;61,"46-60","60+")))</f>
        <v>18-30</v>
      </c>
      <c r="I824" t="str">
        <f>IF(C824&lt;18.5,"Underweight",IF(C824&lt;25,"Normal",IF(C824&lt;30,"Overweight","Obese")))</f>
        <v>Obese</v>
      </c>
      <c r="J824">
        <f>IF(E824="yes",1,0)</f>
        <v>0</v>
      </c>
      <c r="K824" t="str">
        <f>IF(G824&gt;15000,"High","Low")</f>
        <v>Low</v>
      </c>
    </row>
    <row r="825" spans="1:11" x14ac:dyDescent="0.35">
      <c r="A825">
        <v>44</v>
      </c>
      <c r="B825" t="s">
        <v>2</v>
      </c>
      <c r="C825">
        <v>29.81</v>
      </c>
      <c r="D825">
        <v>2</v>
      </c>
      <c r="E825" t="s">
        <v>4</v>
      </c>
      <c r="F825" t="s">
        <v>5</v>
      </c>
      <c r="G825" s="2">
        <v>8219.2039000000004</v>
      </c>
      <c r="H825" s="1" t="str">
        <f>IF(A825&lt;31,"18-30",IF(A825&lt;46,"31-45",IF(A825&lt;61,"46-60","60+")))</f>
        <v>31-45</v>
      </c>
      <c r="I825" t="str">
        <f>IF(C825&lt;18.5,"Underweight",IF(C825&lt;25,"Normal",IF(C825&lt;30,"Overweight","Obese")))</f>
        <v>Overweight</v>
      </c>
      <c r="J825">
        <f>IF(E825="yes",1,0)</f>
        <v>0</v>
      </c>
      <c r="K825" t="str">
        <f>IF(G825&gt;15000,"High","Low")</f>
        <v>Low</v>
      </c>
    </row>
    <row r="826" spans="1:11" x14ac:dyDescent="0.35">
      <c r="A826">
        <v>60</v>
      </c>
      <c r="B826" t="s">
        <v>7</v>
      </c>
      <c r="C826">
        <v>24.32</v>
      </c>
      <c r="D826">
        <v>0</v>
      </c>
      <c r="E826" t="s">
        <v>4</v>
      </c>
      <c r="F826" t="s">
        <v>0</v>
      </c>
      <c r="G826" s="2">
        <v>12523.604799999999</v>
      </c>
      <c r="H826" s="1" t="str">
        <f>IF(A826&lt;31,"18-30",IF(A826&lt;46,"31-45",IF(A826&lt;61,"46-60","60+")))</f>
        <v>46-60</v>
      </c>
      <c r="I826" t="str">
        <f>IF(C826&lt;18.5,"Underweight",IF(C826&lt;25,"Normal",IF(C826&lt;30,"Overweight","Obese")))</f>
        <v>Normal</v>
      </c>
      <c r="J826">
        <f>IF(E826="yes",1,0)</f>
        <v>0</v>
      </c>
      <c r="K826" t="str">
        <f>IF(G826&gt;15000,"High","Low")</f>
        <v>Low</v>
      </c>
    </row>
    <row r="827" spans="1:11" x14ac:dyDescent="0.35">
      <c r="A827">
        <v>64</v>
      </c>
      <c r="B827" t="s">
        <v>2</v>
      </c>
      <c r="C827">
        <v>31.824999999999999</v>
      </c>
      <c r="D827">
        <v>2</v>
      </c>
      <c r="E827" t="s">
        <v>4</v>
      </c>
      <c r="F827" t="s">
        <v>6</v>
      </c>
      <c r="G827" s="2">
        <v>16069.08475</v>
      </c>
      <c r="H827" s="1" t="str">
        <f>IF(A827&lt;31,"18-30",IF(A827&lt;46,"31-45",IF(A827&lt;61,"46-60","60+")))</f>
        <v>60+</v>
      </c>
      <c r="I827" t="str">
        <f>IF(C827&lt;18.5,"Underweight",IF(C827&lt;25,"Normal",IF(C827&lt;30,"Overweight","Obese")))</f>
        <v>Obese</v>
      </c>
      <c r="J827">
        <f>IF(E827="yes",1,0)</f>
        <v>0</v>
      </c>
      <c r="K827" t="str">
        <f>IF(G827&gt;15000,"High","Low")</f>
        <v>High</v>
      </c>
    </row>
    <row r="828" spans="1:11" x14ac:dyDescent="0.35">
      <c r="A828">
        <v>56</v>
      </c>
      <c r="B828" t="s">
        <v>7</v>
      </c>
      <c r="C828">
        <v>31.79</v>
      </c>
      <c r="D828">
        <v>2</v>
      </c>
      <c r="E828" t="s">
        <v>1</v>
      </c>
      <c r="F828" t="s">
        <v>5</v>
      </c>
      <c r="G828" s="2">
        <v>43813.866099999999</v>
      </c>
      <c r="H828" s="1" t="str">
        <f>IF(A828&lt;31,"18-30",IF(A828&lt;46,"31-45",IF(A828&lt;61,"46-60","60+")))</f>
        <v>46-60</v>
      </c>
      <c r="I828" t="str">
        <f>IF(C828&lt;18.5,"Underweight",IF(C828&lt;25,"Normal",IF(C828&lt;30,"Overweight","Obese")))</f>
        <v>Obese</v>
      </c>
      <c r="J828">
        <f>IF(E828="yes",1,0)</f>
        <v>1</v>
      </c>
      <c r="K828" t="str">
        <f>IF(G828&gt;15000,"High","Low")</f>
        <v>High</v>
      </c>
    </row>
    <row r="829" spans="1:11" x14ac:dyDescent="0.35">
      <c r="A829">
        <v>36</v>
      </c>
      <c r="B829" t="s">
        <v>7</v>
      </c>
      <c r="C829">
        <v>28.024999999999999</v>
      </c>
      <c r="D829">
        <v>1</v>
      </c>
      <c r="E829" t="s">
        <v>1</v>
      </c>
      <c r="F829" t="s">
        <v>6</v>
      </c>
      <c r="G829" s="2">
        <v>20773.62775</v>
      </c>
      <c r="H829" s="1" t="str">
        <f>IF(A829&lt;31,"18-30",IF(A829&lt;46,"31-45",IF(A829&lt;61,"46-60","60+")))</f>
        <v>31-45</v>
      </c>
      <c r="I829" t="str">
        <f>IF(C829&lt;18.5,"Underweight",IF(C829&lt;25,"Normal",IF(C829&lt;30,"Overweight","Obese")))</f>
        <v>Overweight</v>
      </c>
      <c r="J829">
        <f>IF(E829="yes",1,0)</f>
        <v>1</v>
      </c>
      <c r="K829" t="str">
        <f>IF(G829&gt;15000,"High","Low")</f>
        <v>High</v>
      </c>
    </row>
    <row r="830" spans="1:11" x14ac:dyDescent="0.35">
      <c r="A830">
        <v>41</v>
      </c>
      <c r="B830" t="s">
        <v>7</v>
      </c>
      <c r="C830">
        <v>30.78</v>
      </c>
      <c r="D830">
        <v>3</v>
      </c>
      <c r="E830" t="s">
        <v>1</v>
      </c>
      <c r="F830" t="s">
        <v>6</v>
      </c>
      <c r="G830" s="2">
        <v>39597.407200000001</v>
      </c>
      <c r="H830" s="1" t="str">
        <f>IF(A830&lt;31,"18-30",IF(A830&lt;46,"31-45",IF(A830&lt;61,"46-60","60+")))</f>
        <v>31-45</v>
      </c>
      <c r="I830" t="str">
        <f>IF(C830&lt;18.5,"Underweight",IF(C830&lt;25,"Normal",IF(C830&lt;30,"Overweight","Obese")))</f>
        <v>Obese</v>
      </c>
      <c r="J830">
        <f>IF(E830="yes",1,0)</f>
        <v>1</v>
      </c>
      <c r="K830" t="str">
        <f>IF(G830&gt;15000,"High","Low")</f>
        <v>High</v>
      </c>
    </row>
    <row r="831" spans="1:11" x14ac:dyDescent="0.35">
      <c r="A831">
        <v>39</v>
      </c>
      <c r="B831" t="s">
        <v>7</v>
      </c>
      <c r="C831">
        <v>21.85</v>
      </c>
      <c r="D831">
        <v>1</v>
      </c>
      <c r="E831" t="s">
        <v>4</v>
      </c>
      <c r="F831" t="s">
        <v>0</v>
      </c>
      <c r="G831" s="2">
        <v>6117.4944999999998</v>
      </c>
      <c r="H831" s="1" t="str">
        <f>IF(A831&lt;31,"18-30",IF(A831&lt;46,"31-45",IF(A831&lt;61,"46-60","60+")))</f>
        <v>31-45</v>
      </c>
      <c r="I831" t="str">
        <f>IF(C831&lt;18.5,"Underweight",IF(C831&lt;25,"Normal",IF(C831&lt;30,"Overweight","Obese")))</f>
        <v>Normal</v>
      </c>
      <c r="J831">
        <f>IF(E831="yes",1,0)</f>
        <v>0</v>
      </c>
      <c r="K831" t="str">
        <f>IF(G831&gt;15000,"High","Low")</f>
        <v>Low</v>
      </c>
    </row>
    <row r="832" spans="1:11" x14ac:dyDescent="0.35">
      <c r="A832">
        <v>63</v>
      </c>
      <c r="B832" t="s">
        <v>7</v>
      </c>
      <c r="C832">
        <v>33.1</v>
      </c>
      <c r="D832">
        <v>0</v>
      </c>
      <c r="E832" t="s">
        <v>4</v>
      </c>
      <c r="F832" t="s">
        <v>3</v>
      </c>
      <c r="G832" s="2">
        <v>13393.755999999999</v>
      </c>
      <c r="H832" s="1" t="str">
        <f>IF(A832&lt;31,"18-30",IF(A832&lt;46,"31-45",IF(A832&lt;61,"46-60","60+")))</f>
        <v>60+</v>
      </c>
      <c r="I832" t="str">
        <f>IF(C832&lt;18.5,"Underweight",IF(C832&lt;25,"Normal",IF(C832&lt;30,"Overweight","Obese")))</f>
        <v>Obese</v>
      </c>
      <c r="J832">
        <f>IF(E832="yes",1,0)</f>
        <v>0</v>
      </c>
      <c r="K832" t="str">
        <f>IF(G832&gt;15000,"High","Low")</f>
        <v>Low</v>
      </c>
    </row>
    <row r="833" spans="1:11" x14ac:dyDescent="0.35">
      <c r="A833">
        <v>36</v>
      </c>
      <c r="B833" t="s">
        <v>2</v>
      </c>
      <c r="C833">
        <v>25.84</v>
      </c>
      <c r="D833">
        <v>0</v>
      </c>
      <c r="E833" t="s">
        <v>4</v>
      </c>
      <c r="F833" t="s">
        <v>0</v>
      </c>
      <c r="G833" s="2">
        <v>5266.3656000000001</v>
      </c>
      <c r="H833" s="1" t="str">
        <f>IF(A833&lt;31,"18-30",IF(A833&lt;46,"31-45",IF(A833&lt;61,"46-60","60+")))</f>
        <v>31-45</v>
      </c>
      <c r="I833" t="str">
        <f>IF(C833&lt;18.5,"Underweight",IF(C833&lt;25,"Normal",IF(C833&lt;30,"Overweight","Obese")))</f>
        <v>Overweight</v>
      </c>
      <c r="J833">
        <f>IF(E833="yes",1,0)</f>
        <v>0</v>
      </c>
      <c r="K833" t="str">
        <f>IF(G833&gt;15000,"High","Low")</f>
        <v>Low</v>
      </c>
    </row>
    <row r="834" spans="1:11" x14ac:dyDescent="0.35">
      <c r="A834">
        <v>28</v>
      </c>
      <c r="B834" t="s">
        <v>2</v>
      </c>
      <c r="C834">
        <v>23.844999999999999</v>
      </c>
      <c r="D834">
        <v>2</v>
      </c>
      <c r="E834" t="s">
        <v>4</v>
      </c>
      <c r="F834" t="s">
        <v>0</v>
      </c>
      <c r="G834" s="2">
        <v>4719.7365499999996</v>
      </c>
      <c r="H834" s="1" t="str">
        <f>IF(A834&lt;31,"18-30",IF(A834&lt;46,"31-45",IF(A834&lt;61,"46-60","60+")))</f>
        <v>18-30</v>
      </c>
      <c r="I834" t="str">
        <f>IF(C834&lt;18.5,"Underweight",IF(C834&lt;25,"Normal",IF(C834&lt;30,"Overweight","Obese")))</f>
        <v>Normal</v>
      </c>
      <c r="J834">
        <f>IF(E834="yes",1,0)</f>
        <v>0</v>
      </c>
      <c r="K834" t="str">
        <f>IF(G834&gt;15000,"High","Low")</f>
        <v>Low</v>
      </c>
    </row>
    <row r="835" spans="1:11" x14ac:dyDescent="0.35">
      <c r="A835">
        <v>58</v>
      </c>
      <c r="B835" t="s">
        <v>7</v>
      </c>
      <c r="C835">
        <v>34.39</v>
      </c>
      <c r="D835">
        <v>0</v>
      </c>
      <c r="E835" t="s">
        <v>4</v>
      </c>
      <c r="F835" t="s">
        <v>0</v>
      </c>
      <c r="G835" s="2">
        <v>11743.9341</v>
      </c>
      <c r="H835" s="1" t="str">
        <f>IF(A835&lt;31,"18-30",IF(A835&lt;46,"31-45",IF(A835&lt;61,"46-60","60+")))</f>
        <v>46-60</v>
      </c>
      <c r="I835" t="str">
        <f>IF(C835&lt;18.5,"Underweight",IF(C835&lt;25,"Normal",IF(C835&lt;30,"Overweight","Obese")))</f>
        <v>Obese</v>
      </c>
      <c r="J835">
        <f>IF(E835="yes",1,0)</f>
        <v>0</v>
      </c>
      <c r="K835" t="str">
        <f>IF(G835&gt;15000,"High","Low")</f>
        <v>Low</v>
      </c>
    </row>
    <row r="836" spans="1:11" x14ac:dyDescent="0.35">
      <c r="A836">
        <v>36</v>
      </c>
      <c r="B836" t="s">
        <v>7</v>
      </c>
      <c r="C836">
        <v>33.82</v>
      </c>
      <c r="D836">
        <v>1</v>
      </c>
      <c r="E836" t="s">
        <v>4</v>
      </c>
      <c r="F836" t="s">
        <v>0</v>
      </c>
      <c r="G836" s="2">
        <v>5377.4578000000001</v>
      </c>
      <c r="H836" s="1" t="str">
        <f>IF(A836&lt;31,"18-30",IF(A836&lt;46,"31-45",IF(A836&lt;61,"46-60","60+")))</f>
        <v>31-45</v>
      </c>
      <c r="I836" t="str">
        <f>IF(C836&lt;18.5,"Underweight",IF(C836&lt;25,"Normal",IF(C836&lt;30,"Overweight","Obese")))</f>
        <v>Obese</v>
      </c>
      <c r="J836">
        <f>IF(E836="yes",1,0)</f>
        <v>0</v>
      </c>
      <c r="K836" t="str">
        <f>IF(G836&gt;15000,"High","Low")</f>
        <v>Low</v>
      </c>
    </row>
    <row r="837" spans="1:11" x14ac:dyDescent="0.35">
      <c r="A837">
        <v>42</v>
      </c>
      <c r="B837" t="s">
        <v>7</v>
      </c>
      <c r="C837">
        <v>35.97</v>
      </c>
      <c r="D837">
        <v>2</v>
      </c>
      <c r="E837" t="s">
        <v>4</v>
      </c>
      <c r="F837" t="s">
        <v>5</v>
      </c>
      <c r="G837" s="2">
        <v>7160.3302999999996</v>
      </c>
      <c r="H837" s="1" t="str">
        <f>IF(A837&lt;31,"18-30",IF(A837&lt;46,"31-45",IF(A837&lt;61,"46-60","60+")))</f>
        <v>31-45</v>
      </c>
      <c r="I837" t="str">
        <f>IF(C837&lt;18.5,"Underweight",IF(C837&lt;25,"Normal",IF(C837&lt;30,"Overweight","Obese")))</f>
        <v>Obese</v>
      </c>
      <c r="J837">
        <f>IF(E837="yes",1,0)</f>
        <v>0</v>
      </c>
      <c r="K837" t="str">
        <f>IF(G837&gt;15000,"High","Low")</f>
        <v>Low</v>
      </c>
    </row>
    <row r="838" spans="1:11" x14ac:dyDescent="0.35">
      <c r="A838">
        <v>36</v>
      </c>
      <c r="B838" t="s">
        <v>7</v>
      </c>
      <c r="C838">
        <v>31.5</v>
      </c>
      <c r="D838">
        <v>0</v>
      </c>
      <c r="E838" t="s">
        <v>4</v>
      </c>
      <c r="F838" t="s">
        <v>3</v>
      </c>
      <c r="G838" s="2">
        <v>4402.2330000000002</v>
      </c>
      <c r="H838" s="1" t="str">
        <f>IF(A838&lt;31,"18-30",IF(A838&lt;46,"31-45",IF(A838&lt;61,"46-60","60+")))</f>
        <v>31-45</v>
      </c>
      <c r="I838" t="str">
        <f>IF(C838&lt;18.5,"Underweight",IF(C838&lt;25,"Normal",IF(C838&lt;30,"Overweight","Obese")))</f>
        <v>Obese</v>
      </c>
      <c r="J838">
        <f>IF(E838="yes",1,0)</f>
        <v>0</v>
      </c>
      <c r="K838" t="str">
        <f>IF(G838&gt;15000,"High","Low")</f>
        <v>Low</v>
      </c>
    </row>
    <row r="839" spans="1:11" x14ac:dyDescent="0.35">
      <c r="A839">
        <v>56</v>
      </c>
      <c r="B839" t="s">
        <v>2</v>
      </c>
      <c r="C839">
        <v>28.31</v>
      </c>
      <c r="D839">
        <v>0</v>
      </c>
      <c r="E839" t="s">
        <v>4</v>
      </c>
      <c r="F839" t="s">
        <v>6</v>
      </c>
      <c r="G839" s="2">
        <v>11657.7189</v>
      </c>
      <c r="H839" s="1" t="str">
        <f>IF(A839&lt;31,"18-30",IF(A839&lt;46,"31-45",IF(A839&lt;61,"46-60","60+")))</f>
        <v>46-60</v>
      </c>
      <c r="I839" t="str">
        <f>IF(C839&lt;18.5,"Underweight",IF(C839&lt;25,"Normal",IF(C839&lt;30,"Overweight","Obese")))</f>
        <v>Overweight</v>
      </c>
      <c r="J839">
        <f>IF(E839="yes",1,0)</f>
        <v>0</v>
      </c>
      <c r="K839" t="str">
        <f>IF(G839&gt;15000,"High","Low")</f>
        <v>Low</v>
      </c>
    </row>
    <row r="840" spans="1:11" x14ac:dyDescent="0.35">
      <c r="A840">
        <v>35</v>
      </c>
      <c r="B840" t="s">
        <v>2</v>
      </c>
      <c r="C840">
        <v>23.465</v>
      </c>
      <c r="D840">
        <v>2</v>
      </c>
      <c r="E840" t="s">
        <v>4</v>
      </c>
      <c r="F840" t="s">
        <v>6</v>
      </c>
      <c r="G840" s="2">
        <v>6402.2913500000004</v>
      </c>
      <c r="H840" s="1" t="str">
        <f>IF(A840&lt;31,"18-30",IF(A840&lt;46,"31-45",IF(A840&lt;61,"46-60","60+")))</f>
        <v>31-45</v>
      </c>
      <c r="I840" t="str">
        <f>IF(C840&lt;18.5,"Underweight",IF(C840&lt;25,"Normal",IF(C840&lt;30,"Overweight","Obese")))</f>
        <v>Normal</v>
      </c>
      <c r="J840">
        <f>IF(E840="yes",1,0)</f>
        <v>0</v>
      </c>
      <c r="K840" t="str">
        <f>IF(G840&gt;15000,"High","Low")</f>
        <v>Low</v>
      </c>
    </row>
    <row r="841" spans="1:11" x14ac:dyDescent="0.35">
      <c r="A841">
        <v>59</v>
      </c>
      <c r="B841" t="s">
        <v>2</v>
      </c>
      <c r="C841">
        <v>31.35</v>
      </c>
      <c r="D841">
        <v>0</v>
      </c>
      <c r="E841" t="s">
        <v>4</v>
      </c>
      <c r="F841" t="s">
        <v>0</v>
      </c>
      <c r="G841" s="2">
        <v>12622.1795</v>
      </c>
      <c r="H841" s="1" t="str">
        <f>IF(A841&lt;31,"18-30",IF(A841&lt;46,"31-45",IF(A841&lt;61,"46-60","60+")))</f>
        <v>46-60</v>
      </c>
      <c r="I841" t="str">
        <f>IF(C841&lt;18.5,"Underweight",IF(C841&lt;25,"Normal",IF(C841&lt;30,"Overweight","Obese")))</f>
        <v>Obese</v>
      </c>
      <c r="J841">
        <f>IF(E841="yes",1,0)</f>
        <v>0</v>
      </c>
      <c r="K841" t="str">
        <f>IF(G841&gt;15000,"High","Low")</f>
        <v>Low</v>
      </c>
    </row>
    <row r="842" spans="1:11" x14ac:dyDescent="0.35">
      <c r="A842">
        <v>21</v>
      </c>
      <c r="B842" t="s">
        <v>7</v>
      </c>
      <c r="C842">
        <v>31.1</v>
      </c>
      <c r="D842">
        <v>0</v>
      </c>
      <c r="E842" t="s">
        <v>4</v>
      </c>
      <c r="F842" t="s">
        <v>3</v>
      </c>
      <c r="G842" s="2">
        <v>1526.3119999999999</v>
      </c>
      <c r="H842" s="1" t="str">
        <f>IF(A842&lt;31,"18-30",IF(A842&lt;46,"31-45",IF(A842&lt;61,"46-60","60+")))</f>
        <v>18-30</v>
      </c>
      <c r="I842" t="str">
        <f>IF(C842&lt;18.5,"Underweight",IF(C842&lt;25,"Normal",IF(C842&lt;30,"Overweight","Obese")))</f>
        <v>Obese</v>
      </c>
      <c r="J842">
        <f>IF(E842="yes",1,0)</f>
        <v>0</v>
      </c>
      <c r="K842" t="str">
        <f>IF(G842&gt;15000,"High","Low")</f>
        <v>Low</v>
      </c>
    </row>
    <row r="843" spans="1:11" x14ac:dyDescent="0.35">
      <c r="A843">
        <v>59</v>
      </c>
      <c r="B843" t="s">
        <v>7</v>
      </c>
      <c r="C843">
        <v>24.7</v>
      </c>
      <c r="D843">
        <v>0</v>
      </c>
      <c r="E843" t="s">
        <v>4</v>
      </c>
      <c r="F843" t="s">
        <v>6</v>
      </c>
      <c r="G843" s="2">
        <v>12323.936</v>
      </c>
      <c r="H843" s="1" t="str">
        <f>IF(A843&lt;31,"18-30",IF(A843&lt;46,"31-45",IF(A843&lt;61,"46-60","60+")))</f>
        <v>46-60</v>
      </c>
      <c r="I843" t="str">
        <f>IF(C843&lt;18.5,"Underweight",IF(C843&lt;25,"Normal",IF(C843&lt;30,"Overweight","Obese")))</f>
        <v>Normal</v>
      </c>
      <c r="J843">
        <f>IF(E843="yes",1,0)</f>
        <v>0</v>
      </c>
      <c r="K843" t="str">
        <f>IF(G843&gt;15000,"High","Low")</f>
        <v>Low</v>
      </c>
    </row>
    <row r="844" spans="1:11" x14ac:dyDescent="0.35">
      <c r="A844">
        <v>23</v>
      </c>
      <c r="B844" t="s">
        <v>2</v>
      </c>
      <c r="C844">
        <v>32.78</v>
      </c>
      <c r="D844">
        <v>2</v>
      </c>
      <c r="E844" t="s">
        <v>1</v>
      </c>
      <c r="F844" t="s">
        <v>5</v>
      </c>
      <c r="G844" s="2">
        <v>36021.011200000001</v>
      </c>
      <c r="H844" s="1" t="str">
        <f>IF(A844&lt;31,"18-30",IF(A844&lt;46,"31-45",IF(A844&lt;61,"46-60","60+")))</f>
        <v>18-30</v>
      </c>
      <c r="I844" t="str">
        <f>IF(C844&lt;18.5,"Underweight",IF(C844&lt;25,"Normal",IF(C844&lt;30,"Overweight","Obese")))</f>
        <v>Obese</v>
      </c>
      <c r="J844">
        <f>IF(E844="yes",1,0)</f>
        <v>1</v>
      </c>
      <c r="K844" t="str">
        <f>IF(G844&gt;15000,"High","Low")</f>
        <v>High</v>
      </c>
    </row>
    <row r="845" spans="1:11" x14ac:dyDescent="0.35">
      <c r="A845">
        <v>57</v>
      </c>
      <c r="B845" t="s">
        <v>2</v>
      </c>
      <c r="C845">
        <v>29.81</v>
      </c>
      <c r="D845">
        <v>0</v>
      </c>
      <c r="E845" t="s">
        <v>1</v>
      </c>
      <c r="F845" t="s">
        <v>5</v>
      </c>
      <c r="G845" s="2">
        <v>27533.912899999999</v>
      </c>
      <c r="H845" s="1" t="str">
        <f>IF(A845&lt;31,"18-30",IF(A845&lt;46,"31-45",IF(A845&lt;61,"46-60","60+")))</f>
        <v>46-60</v>
      </c>
      <c r="I845" t="str">
        <f>IF(C845&lt;18.5,"Underweight",IF(C845&lt;25,"Normal",IF(C845&lt;30,"Overweight","Obese")))</f>
        <v>Overweight</v>
      </c>
      <c r="J845">
        <f>IF(E845="yes",1,0)</f>
        <v>1</v>
      </c>
      <c r="K845" t="str">
        <f>IF(G845&gt;15000,"High","Low")</f>
        <v>High</v>
      </c>
    </row>
    <row r="846" spans="1:11" x14ac:dyDescent="0.35">
      <c r="A846">
        <v>53</v>
      </c>
      <c r="B846" t="s">
        <v>7</v>
      </c>
      <c r="C846">
        <v>30.495000000000001</v>
      </c>
      <c r="D846">
        <v>0</v>
      </c>
      <c r="E846" t="s">
        <v>4</v>
      </c>
      <c r="F846" t="s">
        <v>6</v>
      </c>
      <c r="G846" s="2">
        <v>10072.055050000001</v>
      </c>
      <c r="H846" s="1" t="str">
        <f>IF(A846&lt;31,"18-30",IF(A846&lt;46,"31-45",IF(A846&lt;61,"46-60","60+")))</f>
        <v>46-60</v>
      </c>
      <c r="I846" t="str">
        <f>IF(C846&lt;18.5,"Underweight",IF(C846&lt;25,"Normal",IF(C846&lt;30,"Overweight","Obese")))</f>
        <v>Obese</v>
      </c>
      <c r="J846">
        <f>IF(E846="yes",1,0)</f>
        <v>0</v>
      </c>
      <c r="K846" t="str">
        <f>IF(G846&gt;15000,"High","Low")</f>
        <v>Low</v>
      </c>
    </row>
    <row r="847" spans="1:11" x14ac:dyDescent="0.35">
      <c r="A847">
        <v>60</v>
      </c>
      <c r="B847" t="s">
        <v>2</v>
      </c>
      <c r="C847">
        <v>32.450000000000003</v>
      </c>
      <c r="D847">
        <v>0</v>
      </c>
      <c r="E847" t="s">
        <v>1</v>
      </c>
      <c r="F847" t="s">
        <v>5</v>
      </c>
      <c r="G847" s="2">
        <v>45008.955499999996</v>
      </c>
      <c r="H847" s="1" t="str">
        <f>IF(A847&lt;31,"18-30",IF(A847&lt;46,"31-45",IF(A847&lt;61,"46-60","60+")))</f>
        <v>46-60</v>
      </c>
      <c r="I847" t="str">
        <f>IF(C847&lt;18.5,"Underweight",IF(C847&lt;25,"Normal",IF(C847&lt;30,"Overweight","Obese")))</f>
        <v>Obese</v>
      </c>
      <c r="J847">
        <f>IF(E847="yes",1,0)</f>
        <v>1</v>
      </c>
      <c r="K847" t="str">
        <f>IF(G847&gt;15000,"High","Low")</f>
        <v>High</v>
      </c>
    </row>
    <row r="848" spans="1:11" x14ac:dyDescent="0.35">
      <c r="A848">
        <v>51</v>
      </c>
      <c r="B848" t="s">
        <v>2</v>
      </c>
      <c r="C848">
        <v>34.200000000000003</v>
      </c>
      <c r="D848">
        <v>1</v>
      </c>
      <c r="E848" t="s">
        <v>4</v>
      </c>
      <c r="F848" t="s">
        <v>3</v>
      </c>
      <c r="G848" s="2">
        <v>9872.7009999999991</v>
      </c>
      <c r="H848" s="1" t="str">
        <f>IF(A848&lt;31,"18-30",IF(A848&lt;46,"31-45",IF(A848&lt;61,"46-60","60+")))</f>
        <v>46-60</v>
      </c>
      <c r="I848" t="str">
        <f>IF(C848&lt;18.5,"Underweight",IF(C848&lt;25,"Normal",IF(C848&lt;30,"Overweight","Obese")))</f>
        <v>Obese</v>
      </c>
      <c r="J848">
        <f>IF(E848="yes",1,0)</f>
        <v>0</v>
      </c>
      <c r="K848" t="str">
        <f>IF(G848&gt;15000,"High","Low")</f>
        <v>Low</v>
      </c>
    </row>
    <row r="849" spans="1:11" x14ac:dyDescent="0.35">
      <c r="A849">
        <v>23</v>
      </c>
      <c r="B849" t="s">
        <v>7</v>
      </c>
      <c r="C849">
        <v>50.38</v>
      </c>
      <c r="D849">
        <v>1</v>
      </c>
      <c r="E849" t="s">
        <v>4</v>
      </c>
      <c r="F849" t="s">
        <v>5</v>
      </c>
      <c r="G849" s="2">
        <v>2438.0551999999998</v>
      </c>
      <c r="H849" s="1" t="str">
        <f>IF(A849&lt;31,"18-30",IF(A849&lt;46,"31-45",IF(A849&lt;61,"46-60","60+")))</f>
        <v>18-30</v>
      </c>
      <c r="I849" t="str">
        <f>IF(C849&lt;18.5,"Underweight",IF(C849&lt;25,"Normal",IF(C849&lt;30,"Overweight","Obese")))</f>
        <v>Obese</v>
      </c>
      <c r="J849">
        <f>IF(E849="yes",1,0)</f>
        <v>0</v>
      </c>
      <c r="K849" t="str">
        <f>IF(G849&gt;15000,"High","Low")</f>
        <v>Low</v>
      </c>
    </row>
    <row r="850" spans="1:11" x14ac:dyDescent="0.35">
      <c r="A850">
        <v>27</v>
      </c>
      <c r="B850" t="s">
        <v>2</v>
      </c>
      <c r="C850">
        <v>24.1</v>
      </c>
      <c r="D850">
        <v>0</v>
      </c>
      <c r="E850" t="s">
        <v>4</v>
      </c>
      <c r="F850" t="s">
        <v>3</v>
      </c>
      <c r="G850" s="2">
        <v>2974.1260000000002</v>
      </c>
      <c r="H850" s="1" t="str">
        <f>IF(A850&lt;31,"18-30",IF(A850&lt;46,"31-45",IF(A850&lt;61,"46-60","60+")))</f>
        <v>18-30</v>
      </c>
      <c r="I850" t="str">
        <f>IF(C850&lt;18.5,"Underweight",IF(C850&lt;25,"Normal",IF(C850&lt;30,"Overweight","Obese")))</f>
        <v>Normal</v>
      </c>
      <c r="J850">
        <f>IF(E850="yes",1,0)</f>
        <v>0</v>
      </c>
      <c r="K850" t="str">
        <f>IF(G850&gt;15000,"High","Low")</f>
        <v>Low</v>
      </c>
    </row>
    <row r="851" spans="1:11" x14ac:dyDescent="0.35">
      <c r="A851">
        <v>55</v>
      </c>
      <c r="B851" t="s">
        <v>7</v>
      </c>
      <c r="C851">
        <v>32.774999999999999</v>
      </c>
      <c r="D851">
        <v>0</v>
      </c>
      <c r="E851" t="s">
        <v>4</v>
      </c>
      <c r="F851" t="s">
        <v>0</v>
      </c>
      <c r="G851" s="2">
        <v>10601.632250000001</v>
      </c>
      <c r="H851" s="1" t="str">
        <f>IF(A851&lt;31,"18-30",IF(A851&lt;46,"31-45",IF(A851&lt;61,"46-60","60+")))</f>
        <v>46-60</v>
      </c>
      <c r="I851" t="str">
        <f>IF(C851&lt;18.5,"Underweight",IF(C851&lt;25,"Normal",IF(C851&lt;30,"Overweight","Obese")))</f>
        <v>Obese</v>
      </c>
      <c r="J851">
        <f>IF(E851="yes",1,0)</f>
        <v>0</v>
      </c>
      <c r="K851" t="str">
        <f>IF(G851&gt;15000,"High","Low")</f>
        <v>Low</v>
      </c>
    </row>
    <row r="852" spans="1:11" x14ac:dyDescent="0.35">
      <c r="A852">
        <v>37</v>
      </c>
      <c r="B852" t="s">
        <v>2</v>
      </c>
      <c r="C852">
        <v>30.78</v>
      </c>
      <c r="D852">
        <v>0</v>
      </c>
      <c r="E852" t="s">
        <v>1</v>
      </c>
      <c r="F852" t="s">
        <v>6</v>
      </c>
      <c r="G852" s="2">
        <v>37270.1512</v>
      </c>
      <c r="H852" s="1" t="str">
        <f>IF(A852&lt;31,"18-30",IF(A852&lt;46,"31-45",IF(A852&lt;61,"46-60","60+")))</f>
        <v>31-45</v>
      </c>
      <c r="I852" t="str">
        <f>IF(C852&lt;18.5,"Underweight",IF(C852&lt;25,"Normal",IF(C852&lt;30,"Overweight","Obese")))</f>
        <v>Obese</v>
      </c>
      <c r="J852">
        <f>IF(E852="yes",1,0)</f>
        <v>1</v>
      </c>
      <c r="K852" t="str">
        <f>IF(G852&gt;15000,"High","Low")</f>
        <v>High</v>
      </c>
    </row>
    <row r="853" spans="1:11" x14ac:dyDescent="0.35">
      <c r="A853">
        <v>61</v>
      </c>
      <c r="B853" t="s">
        <v>7</v>
      </c>
      <c r="C853">
        <v>32.299999999999997</v>
      </c>
      <c r="D853">
        <v>2</v>
      </c>
      <c r="E853" t="s">
        <v>4</v>
      </c>
      <c r="F853" t="s">
        <v>0</v>
      </c>
      <c r="G853" s="2">
        <v>14119.62</v>
      </c>
      <c r="H853" s="1" t="str">
        <f>IF(A853&lt;31,"18-30",IF(A853&lt;46,"31-45",IF(A853&lt;61,"46-60","60+")))</f>
        <v>60+</v>
      </c>
      <c r="I853" t="str">
        <f>IF(C853&lt;18.5,"Underweight",IF(C853&lt;25,"Normal",IF(C853&lt;30,"Overweight","Obese")))</f>
        <v>Obese</v>
      </c>
      <c r="J853">
        <f>IF(E853="yes",1,0)</f>
        <v>0</v>
      </c>
      <c r="K853" t="str">
        <f>IF(G853&gt;15000,"High","Low")</f>
        <v>Low</v>
      </c>
    </row>
    <row r="854" spans="1:11" x14ac:dyDescent="0.35">
      <c r="A854">
        <v>46</v>
      </c>
      <c r="B854" t="s">
        <v>2</v>
      </c>
      <c r="C854">
        <v>35.53</v>
      </c>
      <c r="D854">
        <v>0</v>
      </c>
      <c r="E854" t="s">
        <v>1</v>
      </c>
      <c r="F854" t="s">
        <v>6</v>
      </c>
      <c r="G854" s="2">
        <v>42111.664700000001</v>
      </c>
      <c r="H854" s="1" t="str">
        <f>IF(A854&lt;31,"18-30",IF(A854&lt;46,"31-45",IF(A854&lt;61,"46-60","60+")))</f>
        <v>46-60</v>
      </c>
      <c r="I854" t="str">
        <f>IF(C854&lt;18.5,"Underweight",IF(C854&lt;25,"Normal",IF(C854&lt;30,"Overweight","Obese")))</f>
        <v>Obese</v>
      </c>
      <c r="J854">
        <f>IF(E854="yes",1,0)</f>
        <v>1</v>
      </c>
      <c r="K854" t="str">
        <f>IF(G854&gt;15000,"High","Low")</f>
        <v>High</v>
      </c>
    </row>
    <row r="855" spans="1:11" x14ac:dyDescent="0.35">
      <c r="A855">
        <v>53</v>
      </c>
      <c r="B855" t="s">
        <v>2</v>
      </c>
      <c r="C855">
        <v>23.75</v>
      </c>
      <c r="D855">
        <v>2</v>
      </c>
      <c r="E855" t="s">
        <v>4</v>
      </c>
      <c r="F855" t="s">
        <v>6</v>
      </c>
      <c r="G855" s="2">
        <v>11729.6795</v>
      </c>
      <c r="H855" s="1" t="str">
        <f>IF(A855&lt;31,"18-30",IF(A855&lt;46,"31-45",IF(A855&lt;61,"46-60","60+")))</f>
        <v>46-60</v>
      </c>
      <c r="I855" t="str">
        <f>IF(C855&lt;18.5,"Underweight",IF(C855&lt;25,"Normal",IF(C855&lt;30,"Overweight","Obese")))</f>
        <v>Normal</v>
      </c>
      <c r="J855">
        <f>IF(E855="yes",1,0)</f>
        <v>0</v>
      </c>
      <c r="K855" t="str">
        <f>IF(G855&gt;15000,"High","Low")</f>
        <v>Low</v>
      </c>
    </row>
    <row r="856" spans="1:11" x14ac:dyDescent="0.35">
      <c r="A856">
        <v>49</v>
      </c>
      <c r="B856" t="s">
        <v>2</v>
      </c>
      <c r="C856">
        <v>23.844999999999999</v>
      </c>
      <c r="D856">
        <v>3</v>
      </c>
      <c r="E856" t="s">
        <v>1</v>
      </c>
      <c r="F856" t="s">
        <v>6</v>
      </c>
      <c r="G856" s="2">
        <v>24106.912550000001</v>
      </c>
      <c r="H856" s="1" t="str">
        <f>IF(A856&lt;31,"18-30",IF(A856&lt;46,"31-45",IF(A856&lt;61,"46-60","60+")))</f>
        <v>46-60</v>
      </c>
      <c r="I856" t="str">
        <f>IF(C856&lt;18.5,"Underweight",IF(C856&lt;25,"Normal",IF(C856&lt;30,"Overweight","Obese")))</f>
        <v>Normal</v>
      </c>
      <c r="J856">
        <f>IF(E856="yes",1,0)</f>
        <v>1</v>
      </c>
      <c r="K856" t="str">
        <f>IF(G856&gt;15000,"High","Low")</f>
        <v>High</v>
      </c>
    </row>
    <row r="857" spans="1:11" x14ac:dyDescent="0.35">
      <c r="A857">
        <v>20</v>
      </c>
      <c r="B857" t="s">
        <v>2</v>
      </c>
      <c r="C857">
        <v>29.6</v>
      </c>
      <c r="D857">
        <v>0</v>
      </c>
      <c r="E857" t="s">
        <v>4</v>
      </c>
      <c r="F857" t="s">
        <v>3</v>
      </c>
      <c r="G857" s="2">
        <v>1875.3440000000001</v>
      </c>
      <c r="H857" s="1" t="str">
        <f>IF(A857&lt;31,"18-30",IF(A857&lt;46,"31-45",IF(A857&lt;61,"46-60","60+")))</f>
        <v>18-30</v>
      </c>
      <c r="I857" t="str">
        <f>IF(C857&lt;18.5,"Underweight",IF(C857&lt;25,"Normal",IF(C857&lt;30,"Overweight","Obese")))</f>
        <v>Overweight</v>
      </c>
      <c r="J857">
        <f>IF(E857="yes",1,0)</f>
        <v>0</v>
      </c>
      <c r="K857" t="str">
        <f>IF(G857&gt;15000,"High","Low")</f>
        <v>Low</v>
      </c>
    </row>
    <row r="858" spans="1:11" x14ac:dyDescent="0.35">
      <c r="A858">
        <v>48</v>
      </c>
      <c r="B858" t="s">
        <v>2</v>
      </c>
      <c r="C858">
        <v>33.11</v>
      </c>
      <c r="D858">
        <v>0</v>
      </c>
      <c r="E858" t="s">
        <v>1</v>
      </c>
      <c r="F858" t="s">
        <v>5</v>
      </c>
      <c r="G858" s="2">
        <v>40974.164900000003</v>
      </c>
      <c r="H858" s="1" t="str">
        <f>IF(A858&lt;31,"18-30",IF(A858&lt;46,"31-45",IF(A858&lt;61,"46-60","60+")))</f>
        <v>46-60</v>
      </c>
      <c r="I858" t="str">
        <f>IF(C858&lt;18.5,"Underweight",IF(C858&lt;25,"Normal",IF(C858&lt;30,"Overweight","Obese")))</f>
        <v>Obese</v>
      </c>
      <c r="J858">
        <f>IF(E858="yes",1,0)</f>
        <v>1</v>
      </c>
      <c r="K858" t="str">
        <f>IF(G858&gt;15000,"High","Low")</f>
        <v>High</v>
      </c>
    </row>
    <row r="859" spans="1:11" x14ac:dyDescent="0.35">
      <c r="A859">
        <v>25</v>
      </c>
      <c r="B859" t="s">
        <v>7</v>
      </c>
      <c r="C859">
        <v>24.13</v>
      </c>
      <c r="D859">
        <v>0</v>
      </c>
      <c r="E859" t="s">
        <v>1</v>
      </c>
      <c r="F859" t="s">
        <v>0</v>
      </c>
      <c r="G859" s="2">
        <v>15817.985699999999</v>
      </c>
      <c r="H859" s="1" t="str">
        <f>IF(A859&lt;31,"18-30",IF(A859&lt;46,"31-45",IF(A859&lt;61,"46-60","60+")))</f>
        <v>18-30</v>
      </c>
      <c r="I859" t="str">
        <f>IF(C859&lt;18.5,"Underweight",IF(C859&lt;25,"Normal",IF(C859&lt;30,"Overweight","Obese")))</f>
        <v>Normal</v>
      </c>
      <c r="J859">
        <f>IF(E859="yes",1,0)</f>
        <v>1</v>
      </c>
      <c r="K859" t="str">
        <f>IF(G859&gt;15000,"High","Low")</f>
        <v>High</v>
      </c>
    </row>
    <row r="860" spans="1:11" x14ac:dyDescent="0.35">
      <c r="A860">
        <v>25</v>
      </c>
      <c r="B860" t="s">
        <v>2</v>
      </c>
      <c r="C860">
        <v>32.229999999999997</v>
      </c>
      <c r="D860">
        <v>1</v>
      </c>
      <c r="E860" t="s">
        <v>4</v>
      </c>
      <c r="F860" t="s">
        <v>5</v>
      </c>
      <c r="G860" s="2">
        <v>18218.161390000001</v>
      </c>
      <c r="H860" s="1" t="str">
        <f>IF(A860&lt;31,"18-30",IF(A860&lt;46,"31-45",IF(A860&lt;61,"46-60","60+")))</f>
        <v>18-30</v>
      </c>
      <c r="I860" t="str">
        <f>IF(C860&lt;18.5,"Underweight",IF(C860&lt;25,"Normal",IF(C860&lt;30,"Overweight","Obese")))</f>
        <v>Obese</v>
      </c>
      <c r="J860">
        <f>IF(E860="yes",1,0)</f>
        <v>0</v>
      </c>
      <c r="K860" t="str">
        <f>IF(G860&gt;15000,"High","Low")</f>
        <v>High</v>
      </c>
    </row>
    <row r="861" spans="1:11" x14ac:dyDescent="0.35">
      <c r="A861">
        <v>57</v>
      </c>
      <c r="B861" t="s">
        <v>7</v>
      </c>
      <c r="C861">
        <v>28.1</v>
      </c>
      <c r="D861">
        <v>0</v>
      </c>
      <c r="E861" t="s">
        <v>4</v>
      </c>
      <c r="F861" t="s">
        <v>3</v>
      </c>
      <c r="G861" s="2">
        <v>10965.446</v>
      </c>
      <c r="H861" s="1" t="str">
        <f>IF(A861&lt;31,"18-30",IF(A861&lt;46,"31-45",IF(A861&lt;61,"46-60","60+")))</f>
        <v>46-60</v>
      </c>
      <c r="I861" t="str">
        <f>IF(C861&lt;18.5,"Underweight",IF(C861&lt;25,"Normal",IF(C861&lt;30,"Overweight","Obese")))</f>
        <v>Overweight</v>
      </c>
      <c r="J861">
        <f>IF(E861="yes",1,0)</f>
        <v>0</v>
      </c>
      <c r="K861" t="str">
        <f>IF(G861&gt;15000,"High","Low")</f>
        <v>Low</v>
      </c>
    </row>
    <row r="862" spans="1:11" x14ac:dyDescent="0.35">
      <c r="A862">
        <v>37</v>
      </c>
      <c r="B862" t="s">
        <v>2</v>
      </c>
      <c r="C862">
        <v>47.6</v>
      </c>
      <c r="D862">
        <v>2</v>
      </c>
      <c r="E862" t="s">
        <v>1</v>
      </c>
      <c r="F862" t="s">
        <v>3</v>
      </c>
      <c r="G862" s="2">
        <v>46113.510999999999</v>
      </c>
      <c r="H862" s="1" t="str">
        <f>IF(A862&lt;31,"18-30",IF(A862&lt;46,"31-45",IF(A862&lt;61,"46-60","60+")))</f>
        <v>31-45</v>
      </c>
      <c r="I862" t="str">
        <f>IF(C862&lt;18.5,"Underweight",IF(C862&lt;25,"Normal",IF(C862&lt;30,"Overweight","Obese")))</f>
        <v>Obese</v>
      </c>
      <c r="J862">
        <f>IF(E862="yes",1,0)</f>
        <v>1</v>
      </c>
      <c r="K862" t="str">
        <f>IF(G862&gt;15000,"High","Low")</f>
        <v>High</v>
      </c>
    </row>
    <row r="863" spans="1:11" x14ac:dyDescent="0.35">
      <c r="A863">
        <v>38</v>
      </c>
      <c r="B863" t="s">
        <v>2</v>
      </c>
      <c r="C863">
        <v>28</v>
      </c>
      <c r="D863">
        <v>3</v>
      </c>
      <c r="E863" t="s">
        <v>4</v>
      </c>
      <c r="F863" t="s">
        <v>3</v>
      </c>
      <c r="G863" s="2">
        <v>7151.0919999999996</v>
      </c>
      <c r="H863" s="1" t="str">
        <f>IF(A863&lt;31,"18-30",IF(A863&lt;46,"31-45",IF(A863&lt;61,"46-60","60+")))</f>
        <v>31-45</v>
      </c>
      <c r="I863" t="str">
        <f>IF(C863&lt;18.5,"Underweight",IF(C863&lt;25,"Normal",IF(C863&lt;30,"Overweight","Obese")))</f>
        <v>Overweight</v>
      </c>
      <c r="J863">
        <f>IF(E863="yes",1,0)</f>
        <v>0</v>
      </c>
      <c r="K863" t="str">
        <f>IF(G863&gt;15000,"High","Low")</f>
        <v>Low</v>
      </c>
    </row>
    <row r="864" spans="1:11" x14ac:dyDescent="0.35">
      <c r="A864">
        <v>55</v>
      </c>
      <c r="B864" t="s">
        <v>2</v>
      </c>
      <c r="C864">
        <v>33.534999999999997</v>
      </c>
      <c r="D864">
        <v>2</v>
      </c>
      <c r="E864" t="s">
        <v>4</v>
      </c>
      <c r="F864" t="s">
        <v>0</v>
      </c>
      <c r="G864" s="2">
        <v>12269.68865</v>
      </c>
      <c r="H864" s="1" t="str">
        <f>IF(A864&lt;31,"18-30",IF(A864&lt;46,"31-45",IF(A864&lt;61,"46-60","60+")))</f>
        <v>46-60</v>
      </c>
      <c r="I864" t="str">
        <f>IF(C864&lt;18.5,"Underweight",IF(C864&lt;25,"Normal",IF(C864&lt;30,"Overweight","Obese")))</f>
        <v>Obese</v>
      </c>
      <c r="J864">
        <f>IF(E864="yes",1,0)</f>
        <v>0</v>
      </c>
      <c r="K864" t="str">
        <f>IF(G864&gt;15000,"High","Low")</f>
        <v>Low</v>
      </c>
    </row>
    <row r="865" spans="1:11" x14ac:dyDescent="0.35">
      <c r="A865">
        <v>36</v>
      </c>
      <c r="B865" t="s">
        <v>2</v>
      </c>
      <c r="C865">
        <v>19.855</v>
      </c>
      <c r="D865">
        <v>0</v>
      </c>
      <c r="E865" t="s">
        <v>4</v>
      </c>
      <c r="F865" t="s">
        <v>6</v>
      </c>
      <c r="G865" s="2">
        <v>5458.0464499999998</v>
      </c>
      <c r="H865" s="1" t="str">
        <f>IF(A865&lt;31,"18-30",IF(A865&lt;46,"31-45",IF(A865&lt;61,"46-60","60+")))</f>
        <v>31-45</v>
      </c>
      <c r="I865" t="str">
        <f>IF(C865&lt;18.5,"Underweight",IF(C865&lt;25,"Normal",IF(C865&lt;30,"Overweight","Obese")))</f>
        <v>Normal</v>
      </c>
      <c r="J865">
        <f>IF(E865="yes",1,0)</f>
        <v>0</v>
      </c>
      <c r="K865" t="str">
        <f>IF(G865&gt;15000,"High","Low")</f>
        <v>Low</v>
      </c>
    </row>
    <row r="866" spans="1:11" x14ac:dyDescent="0.35">
      <c r="A866">
        <v>51</v>
      </c>
      <c r="B866" t="s">
        <v>7</v>
      </c>
      <c r="C866">
        <v>25.4</v>
      </c>
      <c r="D866">
        <v>0</v>
      </c>
      <c r="E866" t="s">
        <v>4</v>
      </c>
      <c r="F866" t="s">
        <v>3</v>
      </c>
      <c r="G866" s="2">
        <v>8782.4689999999991</v>
      </c>
      <c r="H866" s="1" t="str">
        <f>IF(A866&lt;31,"18-30",IF(A866&lt;46,"31-45",IF(A866&lt;61,"46-60","60+")))</f>
        <v>46-60</v>
      </c>
      <c r="I866" t="str">
        <f>IF(C866&lt;18.5,"Underweight",IF(C866&lt;25,"Normal",IF(C866&lt;30,"Overweight","Obese")))</f>
        <v>Overweight</v>
      </c>
      <c r="J866">
        <f>IF(E866="yes",1,0)</f>
        <v>0</v>
      </c>
      <c r="K866" t="str">
        <f>IF(G866&gt;15000,"High","Low")</f>
        <v>Low</v>
      </c>
    </row>
    <row r="867" spans="1:11" x14ac:dyDescent="0.35">
      <c r="A867">
        <v>40</v>
      </c>
      <c r="B867" t="s">
        <v>7</v>
      </c>
      <c r="C867">
        <v>29.9</v>
      </c>
      <c r="D867">
        <v>2</v>
      </c>
      <c r="E867" t="s">
        <v>4</v>
      </c>
      <c r="F867" t="s">
        <v>3</v>
      </c>
      <c r="G867" s="2">
        <v>6600.3609999999999</v>
      </c>
      <c r="H867" s="1" t="str">
        <f>IF(A867&lt;31,"18-30",IF(A867&lt;46,"31-45",IF(A867&lt;61,"46-60","60+")))</f>
        <v>31-45</v>
      </c>
      <c r="I867" t="str">
        <f>IF(C867&lt;18.5,"Underweight",IF(C867&lt;25,"Normal",IF(C867&lt;30,"Overweight","Obese")))</f>
        <v>Overweight</v>
      </c>
      <c r="J867">
        <f>IF(E867="yes",1,0)</f>
        <v>0</v>
      </c>
      <c r="K867" t="str">
        <f>IF(G867&gt;15000,"High","Low")</f>
        <v>Low</v>
      </c>
    </row>
    <row r="868" spans="1:11" x14ac:dyDescent="0.35">
      <c r="A868">
        <v>18</v>
      </c>
      <c r="B868" t="s">
        <v>7</v>
      </c>
      <c r="C868">
        <v>37.29</v>
      </c>
      <c r="D868">
        <v>0</v>
      </c>
      <c r="E868" t="s">
        <v>4</v>
      </c>
      <c r="F868" t="s">
        <v>5</v>
      </c>
      <c r="G868" s="2">
        <v>1141.4450999999999</v>
      </c>
      <c r="H868" s="1" t="str">
        <f>IF(A868&lt;31,"18-30",IF(A868&lt;46,"31-45",IF(A868&lt;61,"46-60","60+")))</f>
        <v>18-30</v>
      </c>
      <c r="I868" t="str">
        <f>IF(C868&lt;18.5,"Underweight",IF(C868&lt;25,"Normal",IF(C868&lt;30,"Overweight","Obese")))</f>
        <v>Obese</v>
      </c>
      <c r="J868">
        <f>IF(E868="yes",1,0)</f>
        <v>0</v>
      </c>
      <c r="K868" t="str">
        <f>IF(G868&gt;15000,"High","Low")</f>
        <v>Low</v>
      </c>
    </row>
    <row r="869" spans="1:11" x14ac:dyDescent="0.35">
      <c r="A869">
        <v>57</v>
      </c>
      <c r="B869" t="s">
        <v>7</v>
      </c>
      <c r="C869">
        <v>43.7</v>
      </c>
      <c r="D869">
        <v>1</v>
      </c>
      <c r="E869" t="s">
        <v>4</v>
      </c>
      <c r="F869" t="s">
        <v>3</v>
      </c>
      <c r="G869" s="2">
        <v>11576.13</v>
      </c>
      <c r="H869" s="1" t="str">
        <f>IF(A869&lt;31,"18-30",IF(A869&lt;46,"31-45",IF(A869&lt;61,"46-60","60+")))</f>
        <v>46-60</v>
      </c>
      <c r="I869" t="str">
        <f>IF(C869&lt;18.5,"Underweight",IF(C869&lt;25,"Normal",IF(C869&lt;30,"Overweight","Obese")))</f>
        <v>Obese</v>
      </c>
      <c r="J869">
        <f>IF(E869="yes",1,0)</f>
        <v>0</v>
      </c>
      <c r="K869" t="str">
        <f>IF(G869&gt;15000,"High","Low")</f>
        <v>Low</v>
      </c>
    </row>
    <row r="870" spans="1:11" x14ac:dyDescent="0.35">
      <c r="A870">
        <v>61</v>
      </c>
      <c r="B870" t="s">
        <v>7</v>
      </c>
      <c r="C870">
        <v>23.655000000000001</v>
      </c>
      <c r="D870">
        <v>0</v>
      </c>
      <c r="E870" t="s">
        <v>4</v>
      </c>
      <c r="F870" t="s">
        <v>6</v>
      </c>
      <c r="G870" s="2">
        <v>13129.603450000001</v>
      </c>
      <c r="H870" s="1" t="str">
        <f>IF(A870&lt;31,"18-30",IF(A870&lt;46,"31-45",IF(A870&lt;61,"46-60","60+")))</f>
        <v>60+</v>
      </c>
      <c r="I870" t="str">
        <f>IF(C870&lt;18.5,"Underweight",IF(C870&lt;25,"Normal",IF(C870&lt;30,"Overweight","Obese")))</f>
        <v>Normal</v>
      </c>
      <c r="J870">
        <f>IF(E870="yes",1,0)</f>
        <v>0</v>
      </c>
      <c r="K870" t="str">
        <f>IF(G870&gt;15000,"High","Low")</f>
        <v>Low</v>
      </c>
    </row>
    <row r="871" spans="1:11" x14ac:dyDescent="0.35">
      <c r="A871">
        <v>25</v>
      </c>
      <c r="B871" t="s">
        <v>2</v>
      </c>
      <c r="C871">
        <v>24.3</v>
      </c>
      <c r="D871">
        <v>3</v>
      </c>
      <c r="E871" t="s">
        <v>4</v>
      </c>
      <c r="F871" t="s">
        <v>3</v>
      </c>
      <c r="G871" s="2">
        <v>4391.652</v>
      </c>
      <c r="H871" s="1" t="str">
        <f>IF(A871&lt;31,"18-30",IF(A871&lt;46,"31-45",IF(A871&lt;61,"46-60","60+")))</f>
        <v>18-30</v>
      </c>
      <c r="I871" t="str">
        <f>IF(C871&lt;18.5,"Underweight",IF(C871&lt;25,"Normal",IF(C871&lt;30,"Overweight","Obese")))</f>
        <v>Normal</v>
      </c>
      <c r="J871">
        <f>IF(E871="yes",1,0)</f>
        <v>0</v>
      </c>
      <c r="K871" t="str">
        <f>IF(G871&gt;15000,"High","Low")</f>
        <v>Low</v>
      </c>
    </row>
    <row r="872" spans="1:11" x14ac:dyDescent="0.35">
      <c r="A872">
        <v>50</v>
      </c>
      <c r="B872" t="s">
        <v>7</v>
      </c>
      <c r="C872">
        <v>36.200000000000003</v>
      </c>
      <c r="D872">
        <v>0</v>
      </c>
      <c r="E872" t="s">
        <v>4</v>
      </c>
      <c r="F872" t="s">
        <v>3</v>
      </c>
      <c r="G872" s="2">
        <v>8457.8179999999993</v>
      </c>
      <c r="H872" s="1" t="str">
        <f>IF(A872&lt;31,"18-30",IF(A872&lt;46,"31-45",IF(A872&lt;61,"46-60","60+")))</f>
        <v>46-60</v>
      </c>
      <c r="I872" t="str">
        <f>IF(C872&lt;18.5,"Underweight",IF(C872&lt;25,"Normal",IF(C872&lt;30,"Overweight","Obese")))</f>
        <v>Obese</v>
      </c>
      <c r="J872">
        <f>IF(E872="yes",1,0)</f>
        <v>0</v>
      </c>
      <c r="K872" t="str">
        <f>IF(G872&gt;15000,"High","Low")</f>
        <v>Low</v>
      </c>
    </row>
    <row r="873" spans="1:11" x14ac:dyDescent="0.35">
      <c r="A873">
        <v>26</v>
      </c>
      <c r="B873" t="s">
        <v>2</v>
      </c>
      <c r="C873">
        <v>29.48</v>
      </c>
      <c r="D873">
        <v>1</v>
      </c>
      <c r="E873" t="s">
        <v>4</v>
      </c>
      <c r="F873" t="s">
        <v>5</v>
      </c>
      <c r="G873" s="2">
        <v>3392.3652000000002</v>
      </c>
      <c r="H873" s="1" t="str">
        <f>IF(A873&lt;31,"18-30",IF(A873&lt;46,"31-45",IF(A873&lt;61,"46-60","60+")))</f>
        <v>18-30</v>
      </c>
      <c r="I873" t="str">
        <f>IF(C873&lt;18.5,"Underweight",IF(C873&lt;25,"Normal",IF(C873&lt;30,"Overweight","Obese")))</f>
        <v>Overweight</v>
      </c>
      <c r="J873">
        <f>IF(E873="yes",1,0)</f>
        <v>0</v>
      </c>
      <c r="K873" t="str">
        <f>IF(G873&gt;15000,"High","Low")</f>
        <v>Low</v>
      </c>
    </row>
    <row r="874" spans="1:11" x14ac:dyDescent="0.35">
      <c r="A874">
        <v>42</v>
      </c>
      <c r="B874" t="s">
        <v>7</v>
      </c>
      <c r="C874">
        <v>24.86</v>
      </c>
      <c r="D874">
        <v>0</v>
      </c>
      <c r="E874" t="s">
        <v>4</v>
      </c>
      <c r="F874" t="s">
        <v>5</v>
      </c>
      <c r="G874" s="2">
        <v>5966.8873999999996</v>
      </c>
      <c r="H874" s="1" t="str">
        <f>IF(A874&lt;31,"18-30",IF(A874&lt;46,"31-45",IF(A874&lt;61,"46-60","60+")))</f>
        <v>31-45</v>
      </c>
      <c r="I874" t="str">
        <f>IF(C874&lt;18.5,"Underweight",IF(C874&lt;25,"Normal",IF(C874&lt;30,"Overweight","Obese")))</f>
        <v>Normal</v>
      </c>
      <c r="J874">
        <f>IF(E874="yes",1,0)</f>
        <v>0</v>
      </c>
      <c r="K874" t="str">
        <f>IF(G874&gt;15000,"High","Low")</f>
        <v>Low</v>
      </c>
    </row>
    <row r="875" spans="1:11" x14ac:dyDescent="0.35">
      <c r="A875">
        <v>43</v>
      </c>
      <c r="B875" t="s">
        <v>7</v>
      </c>
      <c r="C875">
        <v>30.1</v>
      </c>
      <c r="D875">
        <v>1</v>
      </c>
      <c r="E875" t="s">
        <v>4</v>
      </c>
      <c r="F875" t="s">
        <v>3</v>
      </c>
      <c r="G875" s="2">
        <v>6849.0259999999998</v>
      </c>
      <c r="H875" s="1" t="str">
        <f>IF(A875&lt;31,"18-30",IF(A875&lt;46,"31-45",IF(A875&lt;61,"46-60","60+")))</f>
        <v>31-45</v>
      </c>
      <c r="I875" t="str">
        <f>IF(C875&lt;18.5,"Underweight",IF(C875&lt;25,"Normal",IF(C875&lt;30,"Overweight","Obese")))</f>
        <v>Obese</v>
      </c>
      <c r="J875">
        <f>IF(E875="yes",1,0)</f>
        <v>0</v>
      </c>
      <c r="K875" t="str">
        <f>IF(G875&gt;15000,"High","Low")</f>
        <v>Low</v>
      </c>
    </row>
    <row r="876" spans="1:11" x14ac:dyDescent="0.35">
      <c r="A876">
        <v>44</v>
      </c>
      <c r="B876" t="s">
        <v>7</v>
      </c>
      <c r="C876">
        <v>21.85</v>
      </c>
      <c r="D876">
        <v>3</v>
      </c>
      <c r="E876" t="s">
        <v>4</v>
      </c>
      <c r="F876" t="s">
        <v>6</v>
      </c>
      <c r="G876" s="2">
        <v>8891.1394999999993</v>
      </c>
      <c r="H876" s="1" t="str">
        <f>IF(A876&lt;31,"18-30",IF(A876&lt;46,"31-45",IF(A876&lt;61,"46-60","60+")))</f>
        <v>31-45</v>
      </c>
      <c r="I876" t="str">
        <f>IF(C876&lt;18.5,"Underweight",IF(C876&lt;25,"Normal",IF(C876&lt;30,"Overweight","Obese")))</f>
        <v>Normal</v>
      </c>
      <c r="J876">
        <f>IF(E876="yes",1,0)</f>
        <v>0</v>
      </c>
      <c r="K876" t="str">
        <f>IF(G876&gt;15000,"High","Low")</f>
        <v>Low</v>
      </c>
    </row>
    <row r="877" spans="1:11" x14ac:dyDescent="0.35">
      <c r="A877">
        <v>23</v>
      </c>
      <c r="B877" t="s">
        <v>2</v>
      </c>
      <c r="C877">
        <v>28.12</v>
      </c>
      <c r="D877">
        <v>0</v>
      </c>
      <c r="E877" t="s">
        <v>4</v>
      </c>
      <c r="F877" t="s">
        <v>0</v>
      </c>
      <c r="G877" s="2">
        <v>2690.1138000000001</v>
      </c>
      <c r="H877" s="1" t="str">
        <f>IF(A877&lt;31,"18-30",IF(A877&lt;46,"31-45",IF(A877&lt;61,"46-60","60+")))</f>
        <v>18-30</v>
      </c>
      <c r="I877" t="str">
        <f>IF(C877&lt;18.5,"Underweight",IF(C877&lt;25,"Normal",IF(C877&lt;30,"Overweight","Obese")))</f>
        <v>Overweight</v>
      </c>
      <c r="J877">
        <f>IF(E877="yes",1,0)</f>
        <v>0</v>
      </c>
      <c r="K877" t="str">
        <f>IF(G877&gt;15000,"High","Low")</f>
        <v>Low</v>
      </c>
    </row>
    <row r="878" spans="1:11" x14ac:dyDescent="0.35">
      <c r="A878">
        <v>49</v>
      </c>
      <c r="B878" t="s">
        <v>2</v>
      </c>
      <c r="C878">
        <v>27.1</v>
      </c>
      <c r="D878">
        <v>1</v>
      </c>
      <c r="E878" t="s">
        <v>4</v>
      </c>
      <c r="F878" t="s">
        <v>3</v>
      </c>
      <c r="G878" s="2">
        <v>26140.3603</v>
      </c>
      <c r="H878" s="1" t="str">
        <f>IF(A878&lt;31,"18-30",IF(A878&lt;46,"31-45",IF(A878&lt;61,"46-60","60+")))</f>
        <v>46-60</v>
      </c>
      <c r="I878" t="str">
        <f>IF(C878&lt;18.5,"Underweight",IF(C878&lt;25,"Normal",IF(C878&lt;30,"Overweight","Obese")))</f>
        <v>Overweight</v>
      </c>
      <c r="J878">
        <f>IF(E878="yes",1,0)</f>
        <v>0</v>
      </c>
      <c r="K878" t="str">
        <f>IF(G878&gt;15000,"High","Low")</f>
        <v>High</v>
      </c>
    </row>
    <row r="879" spans="1:11" x14ac:dyDescent="0.35">
      <c r="A879">
        <v>33</v>
      </c>
      <c r="B879" t="s">
        <v>7</v>
      </c>
      <c r="C879">
        <v>33.44</v>
      </c>
      <c r="D879">
        <v>5</v>
      </c>
      <c r="E879" t="s">
        <v>4</v>
      </c>
      <c r="F879" t="s">
        <v>5</v>
      </c>
      <c r="G879" s="2">
        <v>6653.7885999999999</v>
      </c>
      <c r="H879" s="1" t="str">
        <f>IF(A879&lt;31,"18-30",IF(A879&lt;46,"31-45",IF(A879&lt;61,"46-60","60+")))</f>
        <v>31-45</v>
      </c>
      <c r="I879" t="str">
        <f>IF(C879&lt;18.5,"Underweight",IF(C879&lt;25,"Normal",IF(C879&lt;30,"Overweight","Obese")))</f>
        <v>Obese</v>
      </c>
      <c r="J879">
        <f>IF(E879="yes",1,0)</f>
        <v>0</v>
      </c>
      <c r="K879" t="str">
        <f>IF(G879&gt;15000,"High","Low")</f>
        <v>Low</v>
      </c>
    </row>
    <row r="880" spans="1:11" x14ac:dyDescent="0.35">
      <c r="A880">
        <v>41</v>
      </c>
      <c r="B880" t="s">
        <v>7</v>
      </c>
      <c r="C880">
        <v>28.8</v>
      </c>
      <c r="D880">
        <v>1</v>
      </c>
      <c r="E880" t="s">
        <v>4</v>
      </c>
      <c r="F880" t="s">
        <v>3</v>
      </c>
      <c r="G880" s="2">
        <v>6282.2349999999997</v>
      </c>
      <c r="H880" s="1" t="str">
        <f>IF(A880&lt;31,"18-30",IF(A880&lt;46,"31-45",IF(A880&lt;61,"46-60","60+")))</f>
        <v>31-45</v>
      </c>
      <c r="I880" t="str">
        <f>IF(C880&lt;18.5,"Underweight",IF(C880&lt;25,"Normal",IF(C880&lt;30,"Overweight","Obese")))</f>
        <v>Overweight</v>
      </c>
      <c r="J880">
        <f>IF(E880="yes",1,0)</f>
        <v>0</v>
      </c>
      <c r="K880" t="str">
        <f>IF(G880&gt;15000,"High","Low")</f>
        <v>Low</v>
      </c>
    </row>
    <row r="881" spans="1:11" x14ac:dyDescent="0.35">
      <c r="A881">
        <v>37</v>
      </c>
      <c r="B881" t="s">
        <v>2</v>
      </c>
      <c r="C881">
        <v>29.5</v>
      </c>
      <c r="D881">
        <v>2</v>
      </c>
      <c r="E881" t="s">
        <v>4</v>
      </c>
      <c r="F881" t="s">
        <v>3</v>
      </c>
      <c r="G881" s="2">
        <v>6311.9520000000002</v>
      </c>
      <c r="H881" s="1" t="str">
        <f>IF(A881&lt;31,"18-30",IF(A881&lt;46,"31-45",IF(A881&lt;61,"46-60","60+")))</f>
        <v>31-45</v>
      </c>
      <c r="I881" t="str">
        <f>IF(C881&lt;18.5,"Underweight",IF(C881&lt;25,"Normal",IF(C881&lt;30,"Overweight","Obese")))</f>
        <v>Overweight</v>
      </c>
      <c r="J881">
        <f>IF(E881="yes",1,0)</f>
        <v>0</v>
      </c>
      <c r="K881" t="str">
        <f>IF(G881&gt;15000,"High","Low")</f>
        <v>Low</v>
      </c>
    </row>
    <row r="882" spans="1:11" x14ac:dyDescent="0.35">
      <c r="A882">
        <v>22</v>
      </c>
      <c r="B882" t="s">
        <v>7</v>
      </c>
      <c r="C882">
        <v>34.799999999999997</v>
      </c>
      <c r="D882">
        <v>3</v>
      </c>
      <c r="E882" t="s">
        <v>4</v>
      </c>
      <c r="F882" t="s">
        <v>3</v>
      </c>
      <c r="G882" s="2">
        <v>3443.0639999999999</v>
      </c>
      <c r="H882" s="1" t="str">
        <f>IF(A882&lt;31,"18-30",IF(A882&lt;46,"31-45",IF(A882&lt;61,"46-60","60+")))</f>
        <v>18-30</v>
      </c>
      <c r="I882" t="str">
        <f>IF(C882&lt;18.5,"Underweight",IF(C882&lt;25,"Normal",IF(C882&lt;30,"Overweight","Obese")))</f>
        <v>Obese</v>
      </c>
      <c r="J882">
        <f>IF(E882="yes",1,0)</f>
        <v>0</v>
      </c>
      <c r="K882" t="str">
        <f>IF(G882&gt;15000,"High","Low")</f>
        <v>Low</v>
      </c>
    </row>
    <row r="883" spans="1:11" x14ac:dyDescent="0.35">
      <c r="A883">
        <v>23</v>
      </c>
      <c r="B883" t="s">
        <v>7</v>
      </c>
      <c r="C883">
        <v>27.36</v>
      </c>
      <c r="D883">
        <v>1</v>
      </c>
      <c r="E883" t="s">
        <v>4</v>
      </c>
      <c r="F883" t="s">
        <v>0</v>
      </c>
      <c r="G883" s="2">
        <v>2789.0574000000001</v>
      </c>
      <c r="H883" s="1" t="str">
        <f>IF(A883&lt;31,"18-30",IF(A883&lt;46,"31-45",IF(A883&lt;61,"46-60","60+")))</f>
        <v>18-30</v>
      </c>
      <c r="I883" t="str">
        <f>IF(C883&lt;18.5,"Underweight",IF(C883&lt;25,"Normal",IF(C883&lt;30,"Overweight","Obese")))</f>
        <v>Overweight</v>
      </c>
      <c r="J883">
        <f>IF(E883="yes",1,0)</f>
        <v>0</v>
      </c>
      <c r="K883" t="str">
        <f>IF(G883&gt;15000,"High","Low")</f>
        <v>Low</v>
      </c>
    </row>
    <row r="884" spans="1:11" x14ac:dyDescent="0.35">
      <c r="A884">
        <v>21</v>
      </c>
      <c r="B884" t="s">
        <v>2</v>
      </c>
      <c r="C884">
        <v>22.135000000000002</v>
      </c>
      <c r="D884">
        <v>0</v>
      </c>
      <c r="E884" t="s">
        <v>4</v>
      </c>
      <c r="F884" t="s">
        <v>6</v>
      </c>
      <c r="G884" s="2">
        <v>2585.8506499999999</v>
      </c>
      <c r="H884" s="1" t="str">
        <f>IF(A884&lt;31,"18-30",IF(A884&lt;46,"31-45",IF(A884&lt;61,"46-60","60+")))</f>
        <v>18-30</v>
      </c>
      <c r="I884" t="str">
        <f>IF(C884&lt;18.5,"Underweight",IF(C884&lt;25,"Normal",IF(C884&lt;30,"Overweight","Obese")))</f>
        <v>Normal</v>
      </c>
      <c r="J884">
        <f>IF(E884="yes",1,0)</f>
        <v>0</v>
      </c>
      <c r="K884" t="str">
        <f>IF(G884&gt;15000,"High","Low")</f>
        <v>Low</v>
      </c>
    </row>
    <row r="885" spans="1:11" x14ac:dyDescent="0.35">
      <c r="A885">
        <v>51</v>
      </c>
      <c r="B885" t="s">
        <v>2</v>
      </c>
      <c r="C885">
        <v>37.049999999999997</v>
      </c>
      <c r="D885">
        <v>3</v>
      </c>
      <c r="E885" t="s">
        <v>1</v>
      </c>
      <c r="F885" t="s">
        <v>6</v>
      </c>
      <c r="G885" s="2">
        <v>46255.112500000003</v>
      </c>
      <c r="H885" s="1" t="str">
        <f>IF(A885&lt;31,"18-30",IF(A885&lt;46,"31-45",IF(A885&lt;61,"46-60","60+")))</f>
        <v>46-60</v>
      </c>
      <c r="I885" t="str">
        <f>IF(C885&lt;18.5,"Underweight",IF(C885&lt;25,"Normal",IF(C885&lt;30,"Overweight","Obese")))</f>
        <v>Obese</v>
      </c>
      <c r="J885">
        <f>IF(E885="yes",1,0)</f>
        <v>1</v>
      </c>
      <c r="K885" t="str">
        <f>IF(G885&gt;15000,"High","Low")</f>
        <v>High</v>
      </c>
    </row>
    <row r="886" spans="1:11" x14ac:dyDescent="0.35">
      <c r="A886">
        <v>25</v>
      </c>
      <c r="B886" t="s">
        <v>7</v>
      </c>
      <c r="C886">
        <v>26.695</v>
      </c>
      <c r="D886">
        <v>4</v>
      </c>
      <c r="E886" t="s">
        <v>4</v>
      </c>
      <c r="F886" t="s">
        <v>0</v>
      </c>
      <c r="G886" s="2">
        <v>4877.9810500000003</v>
      </c>
      <c r="H886" s="1" t="str">
        <f>IF(A886&lt;31,"18-30",IF(A886&lt;46,"31-45",IF(A886&lt;61,"46-60","60+")))</f>
        <v>18-30</v>
      </c>
      <c r="I886" t="str">
        <f>IF(C886&lt;18.5,"Underweight",IF(C886&lt;25,"Normal",IF(C886&lt;30,"Overweight","Obese")))</f>
        <v>Overweight</v>
      </c>
      <c r="J886">
        <f>IF(E886="yes",1,0)</f>
        <v>0</v>
      </c>
      <c r="K886" t="str">
        <f>IF(G886&gt;15000,"High","Low")</f>
        <v>Low</v>
      </c>
    </row>
    <row r="887" spans="1:11" x14ac:dyDescent="0.35">
      <c r="A887">
        <v>32</v>
      </c>
      <c r="B887" t="s">
        <v>7</v>
      </c>
      <c r="C887">
        <v>28.93</v>
      </c>
      <c r="D887">
        <v>1</v>
      </c>
      <c r="E887" t="s">
        <v>1</v>
      </c>
      <c r="F887" t="s">
        <v>5</v>
      </c>
      <c r="G887" s="2">
        <v>19719.6947</v>
      </c>
      <c r="H887" s="1" t="str">
        <f>IF(A887&lt;31,"18-30",IF(A887&lt;46,"31-45",IF(A887&lt;61,"46-60","60+")))</f>
        <v>31-45</v>
      </c>
      <c r="I887" t="str">
        <f>IF(C887&lt;18.5,"Underweight",IF(C887&lt;25,"Normal",IF(C887&lt;30,"Overweight","Obese")))</f>
        <v>Overweight</v>
      </c>
      <c r="J887">
        <f>IF(E887="yes",1,0)</f>
        <v>1</v>
      </c>
      <c r="K887" t="str">
        <f>IF(G887&gt;15000,"High","Low")</f>
        <v>High</v>
      </c>
    </row>
    <row r="888" spans="1:11" x14ac:dyDescent="0.35">
      <c r="A888">
        <v>57</v>
      </c>
      <c r="B888" t="s">
        <v>7</v>
      </c>
      <c r="C888">
        <v>28.975000000000001</v>
      </c>
      <c r="D888">
        <v>0</v>
      </c>
      <c r="E888" t="s">
        <v>1</v>
      </c>
      <c r="F888" t="s">
        <v>6</v>
      </c>
      <c r="G888" s="2">
        <v>27218.437249999999</v>
      </c>
      <c r="H888" s="1" t="str">
        <f>IF(A888&lt;31,"18-30",IF(A888&lt;46,"31-45",IF(A888&lt;61,"46-60","60+")))</f>
        <v>46-60</v>
      </c>
      <c r="I888" t="str">
        <f>IF(C888&lt;18.5,"Underweight",IF(C888&lt;25,"Normal",IF(C888&lt;30,"Overweight","Obese")))</f>
        <v>Overweight</v>
      </c>
      <c r="J888">
        <f>IF(E888="yes",1,0)</f>
        <v>1</v>
      </c>
      <c r="K888" t="str">
        <f>IF(G888&gt;15000,"High","Low")</f>
        <v>High</v>
      </c>
    </row>
    <row r="889" spans="1:11" x14ac:dyDescent="0.35">
      <c r="A889">
        <v>36</v>
      </c>
      <c r="B889" t="s">
        <v>2</v>
      </c>
      <c r="C889">
        <v>30.02</v>
      </c>
      <c r="D889">
        <v>0</v>
      </c>
      <c r="E889" t="s">
        <v>4</v>
      </c>
      <c r="F889" t="s">
        <v>0</v>
      </c>
      <c r="G889" s="2">
        <v>5272.1758</v>
      </c>
      <c r="H889" s="1" t="str">
        <f>IF(A889&lt;31,"18-30",IF(A889&lt;46,"31-45",IF(A889&lt;61,"46-60","60+")))</f>
        <v>31-45</v>
      </c>
      <c r="I889" t="str">
        <f>IF(C889&lt;18.5,"Underweight",IF(C889&lt;25,"Normal",IF(C889&lt;30,"Overweight","Obese")))</f>
        <v>Obese</v>
      </c>
      <c r="J889">
        <f>IF(E889="yes",1,0)</f>
        <v>0</v>
      </c>
      <c r="K889" t="str">
        <f>IF(G889&gt;15000,"High","Low")</f>
        <v>Low</v>
      </c>
    </row>
    <row r="890" spans="1:11" x14ac:dyDescent="0.35">
      <c r="A890">
        <v>22</v>
      </c>
      <c r="B890" t="s">
        <v>7</v>
      </c>
      <c r="C890">
        <v>39.5</v>
      </c>
      <c r="D890">
        <v>0</v>
      </c>
      <c r="E890" t="s">
        <v>4</v>
      </c>
      <c r="F890" t="s">
        <v>3</v>
      </c>
      <c r="G890" s="2">
        <v>1682.597</v>
      </c>
      <c r="H890" s="1" t="str">
        <f>IF(A890&lt;31,"18-30",IF(A890&lt;46,"31-45",IF(A890&lt;61,"46-60","60+")))</f>
        <v>18-30</v>
      </c>
      <c r="I890" t="str">
        <f>IF(C890&lt;18.5,"Underweight",IF(C890&lt;25,"Normal",IF(C890&lt;30,"Overweight","Obese")))</f>
        <v>Obese</v>
      </c>
      <c r="J890">
        <f>IF(E890="yes",1,0)</f>
        <v>0</v>
      </c>
      <c r="K890" t="str">
        <f>IF(G890&gt;15000,"High","Low")</f>
        <v>Low</v>
      </c>
    </row>
    <row r="891" spans="1:11" x14ac:dyDescent="0.35">
      <c r="A891">
        <v>57</v>
      </c>
      <c r="B891" t="s">
        <v>7</v>
      </c>
      <c r="C891">
        <v>33.630000000000003</v>
      </c>
      <c r="D891">
        <v>1</v>
      </c>
      <c r="E891" t="s">
        <v>4</v>
      </c>
      <c r="F891" t="s">
        <v>0</v>
      </c>
      <c r="G891" s="2">
        <v>11945.1327</v>
      </c>
      <c r="H891" s="1" t="str">
        <f>IF(A891&lt;31,"18-30",IF(A891&lt;46,"31-45",IF(A891&lt;61,"46-60","60+")))</f>
        <v>46-60</v>
      </c>
      <c r="I891" t="str">
        <f>IF(C891&lt;18.5,"Underweight",IF(C891&lt;25,"Normal",IF(C891&lt;30,"Overweight","Obese")))</f>
        <v>Obese</v>
      </c>
      <c r="J891">
        <f>IF(E891="yes",1,0)</f>
        <v>0</v>
      </c>
      <c r="K891" t="str">
        <f>IF(G891&gt;15000,"High","Low")</f>
        <v>Low</v>
      </c>
    </row>
    <row r="892" spans="1:11" x14ac:dyDescent="0.35">
      <c r="A892">
        <v>64</v>
      </c>
      <c r="B892" t="s">
        <v>2</v>
      </c>
      <c r="C892">
        <v>26.885000000000002</v>
      </c>
      <c r="D892">
        <v>0</v>
      </c>
      <c r="E892" t="s">
        <v>1</v>
      </c>
      <c r="F892" t="s">
        <v>0</v>
      </c>
      <c r="G892" s="2">
        <v>29330.98315</v>
      </c>
      <c r="H892" s="1" t="str">
        <f>IF(A892&lt;31,"18-30",IF(A892&lt;46,"31-45",IF(A892&lt;61,"46-60","60+")))</f>
        <v>60+</v>
      </c>
      <c r="I892" t="str">
        <f>IF(C892&lt;18.5,"Underweight",IF(C892&lt;25,"Normal",IF(C892&lt;30,"Overweight","Obese")))</f>
        <v>Overweight</v>
      </c>
      <c r="J892">
        <f>IF(E892="yes",1,0)</f>
        <v>1</v>
      </c>
      <c r="K892" t="str">
        <f>IF(G892&gt;15000,"High","Low")</f>
        <v>High</v>
      </c>
    </row>
    <row r="893" spans="1:11" x14ac:dyDescent="0.35">
      <c r="A893">
        <v>36</v>
      </c>
      <c r="B893" t="s">
        <v>2</v>
      </c>
      <c r="C893">
        <v>29.04</v>
      </c>
      <c r="D893">
        <v>4</v>
      </c>
      <c r="E893" t="s">
        <v>4</v>
      </c>
      <c r="F893" t="s">
        <v>5</v>
      </c>
      <c r="G893" s="2">
        <v>7243.8136000000004</v>
      </c>
      <c r="H893" s="1" t="str">
        <f>IF(A893&lt;31,"18-30",IF(A893&lt;46,"31-45",IF(A893&lt;61,"46-60","60+")))</f>
        <v>31-45</v>
      </c>
      <c r="I893" t="str">
        <f>IF(C893&lt;18.5,"Underweight",IF(C893&lt;25,"Normal",IF(C893&lt;30,"Overweight","Obese")))</f>
        <v>Overweight</v>
      </c>
      <c r="J893">
        <f>IF(E893="yes",1,0)</f>
        <v>0</v>
      </c>
      <c r="K893" t="str">
        <f>IF(G893&gt;15000,"High","Low")</f>
        <v>Low</v>
      </c>
    </row>
    <row r="894" spans="1:11" x14ac:dyDescent="0.35">
      <c r="A894">
        <v>54</v>
      </c>
      <c r="B894" t="s">
        <v>7</v>
      </c>
      <c r="C894">
        <v>24.035</v>
      </c>
      <c r="D894">
        <v>0</v>
      </c>
      <c r="E894" t="s">
        <v>4</v>
      </c>
      <c r="F894" t="s">
        <v>6</v>
      </c>
      <c r="G894" s="2">
        <v>10422.916649999999</v>
      </c>
      <c r="H894" s="1" t="str">
        <f>IF(A894&lt;31,"18-30",IF(A894&lt;46,"31-45",IF(A894&lt;61,"46-60","60+")))</f>
        <v>46-60</v>
      </c>
      <c r="I894" t="str">
        <f>IF(C894&lt;18.5,"Underweight",IF(C894&lt;25,"Normal",IF(C894&lt;30,"Overweight","Obese")))</f>
        <v>Normal</v>
      </c>
      <c r="J894">
        <f>IF(E894="yes",1,0)</f>
        <v>0</v>
      </c>
      <c r="K894" t="str">
        <f>IF(G894&gt;15000,"High","Low")</f>
        <v>Low</v>
      </c>
    </row>
    <row r="895" spans="1:11" x14ac:dyDescent="0.35">
      <c r="A895">
        <v>47</v>
      </c>
      <c r="B895" t="s">
        <v>7</v>
      </c>
      <c r="C895">
        <v>38.94</v>
      </c>
      <c r="D895">
        <v>2</v>
      </c>
      <c r="E895" t="s">
        <v>1</v>
      </c>
      <c r="F895" t="s">
        <v>5</v>
      </c>
      <c r="G895" s="2">
        <v>44202.653599999998</v>
      </c>
      <c r="H895" s="1" t="str">
        <f>IF(A895&lt;31,"18-30",IF(A895&lt;46,"31-45",IF(A895&lt;61,"46-60","60+")))</f>
        <v>46-60</v>
      </c>
      <c r="I895" t="str">
        <f>IF(C895&lt;18.5,"Underweight",IF(C895&lt;25,"Normal",IF(C895&lt;30,"Overweight","Obese")))</f>
        <v>Obese</v>
      </c>
      <c r="J895">
        <f>IF(E895="yes",1,0)</f>
        <v>1</v>
      </c>
      <c r="K895" t="str">
        <f>IF(G895&gt;15000,"High","Low")</f>
        <v>High</v>
      </c>
    </row>
    <row r="896" spans="1:11" x14ac:dyDescent="0.35">
      <c r="A896">
        <v>62</v>
      </c>
      <c r="B896" t="s">
        <v>7</v>
      </c>
      <c r="C896">
        <v>32.11</v>
      </c>
      <c r="D896">
        <v>0</v>
      </c>
      <c r="E896" t="s">
        <v>4</v>
      </c>
      <c r="F896" t="s">
        <v>6</v>
      </c>
      <c r="G896" s="2">
        <v>13555.0049</v>
      </c>
      <c r="H896" s="1" t="str">
        <f>IF(A896&lt;31,"18-30",IF(A896&lt;46,"31-45",IF(A896&lt;61,"46-60","60+")))</f>
        <v>60+</v>
      </c>
      <c r="I896" t="str">
        <f>IF(C896&lt;18.5,"Underweight",IF(C896&lt;25,"Normal",IF(C896&lt;30,"Overweight","Obese")))</f>
        <v>Obese</v>
      </c>
      <c r="J896">
        <f>IF(E896="yes",1,0)</f>
        <v>0</v>
      </c>
      <c r="K896" t="str">
        <f>IF(G896&gt;15000,"High","Low")</f>
        <v>Low</v>
      </c>
    </row>
    <row r="897" spans="1:11" x14ac:dyDescent="0.35">
      <c r="A897">
        <v>61</v>
      </c>
      <c r="B897" t="s">
        <v>2</v>
      </c>
      <c r="C897">
        <v>44</v>
      </c>
      <c r="D897">
        <v>0</v>
      </c>
      <c r="E897" t="s">
        <v>4</v>
      </c>
      <c r="F897" t="s">
        <v>3</v>
      </c>
      <c r="G897" s="2">
        <v>13063.883</v>
      </c>
      <c r="H897" s="1" t="str">
        <f>IF(A897&lt;31,"18-30",IF(A897&lt;46,"31-45",IF(A897&lt;61,"46-60","60+")))</f>
        <v>60+</v>
      </c>
      <c r="I897" t="str">
        <f>IF(C897&lt;18.5,"Underweight",IF(C897&lt;25,"Normal",IF(C897&lt;30,"Overweight","Obese")))</f>
        <v>Obese</v>
      </c>
      <c r="J897">
        <f>IF(E897="yes",1,0)</f>
        <v>0</v>
      </c>
      <c r="K897" t="str">
        <f>IF(G897&gt;15000,"High","Low")</f>
        <v>Low</v>
      </c>
    </row>
    <row r="898" spans="1:11" x14ac:dyDescent="0.35">
      <c r="A898">
        <v>43</v>
      </c>
      <c r="B898" t="s">
        <v>2</v>
      </c>
      <c r="C898">
        <v>20.045000000000002</v>
      </c>
      <c r="D898">
        <v>2</v>
      </c>
      <c r="E898" t="s">
        <v>1</v>
      </c>
      <c r="F898" t="s">
        <v>6</v>
      </c>
      <c r="G898" s="2">
        <v>19798.054550000001</v>
      </c>
      <c r="H898" s="1" t="str">
        <f>IF(A898&lt;31,"18-30",IF(A898&lt;46,"31-45",IF(A898&lt;61,"46-60","60+")))</f>
        <v>31-45</v>
      </c>
      <c r="I898" t="str">
        <f>IF(C898&lt;18.5,"Underweight",IF(C898&lt;25,"Normal",IF(C898&lt;30,"Overweight","Obese")))</f>
        <v>Normal</v>
      </c>
      <c r="J898">
        <f>IF(E898="yes",1,0)</f>
        <v>1</v>
      </c>
      <c r="K898" t="str">
        <f>IF(G898&gt;15000,"High","Low")</f>
        <v>High</v>
      </c>
    </row>
    <row r="899" spans="1:11" x14ac:dyDescent="0.35">
      <c r="A899">
        <v>19</v>
      </c>
      <c r="B899" t="s">
        <v>7</v>
      </c>
      <c r="C899">
        <v>25.555</v>
      </c>
      <c r="D899">
        <v>1</v>
      </c>
      <c r="E899" t="s">
        <v>4</v>
      </c>
      <c r="F899" t="s">
        <v>0</v>
      </c>
      <c r="G899" s="2">
        <v>2221.5644499999999</v>
      </c>
      <c r="H899" s="1" t="str">
        <f>IF(A899&lt;31,"18-30",IF(A899&lt;46,"31-45",IF(A899&lt;61,"46-60","60+")))</f>
        <v>18-30</v>
      </c>
      <c r="I899" t="str">
        <f>IF(C899&lt;18.5,"Underweight",IF(C899&lt;25,"Normal",IF(C899&lt;30,"Overweight","Obese")))</f>
        <v>Overweight</v>
      </c>
      <c r="J899">
        <f>IF(E899="yes",1,0)</f>
        <v>0</v>
      </c>
      <c r="K899" t="str">
        <f>IF(G899&gt;15000,"High","Low")</f>
        <v>Low</v>
      </c>
    </row>
    <row r="900" spans="1:11" x14ac:dyDescent="0.35">
      <c r="A900">
        <v>18</v>
      </c>
      <c r="B900" t="s">
        <v>2</v>
      </c>
      <c r="C900">
        <v>40.26</v>
      </c>
      <c r="D900">
        <v>0</v>
      </c>
      <c r="E900" t="s">
        <v>4</v>
      </c>
      <c r="F900" t="s">
        <v>5</v>
      </c>
      <c r="G900" s="2">
        <v>1634.5734</v>
      </c>
      <c r="H900" s="1" t="str">
        <f>IF(A900&lt;31,"18-30",IF(A900&lt;46,"31-45",IF(A900&lt;61,"46-60","60+")))</f>
        <v>18-30</v>
      </c>
      <c r="I900" t="str">
        <f>IF(C900&lt;18.5,"Underweight",IF(C900&lt;25,"Normal",IF(C900&lt;30,"Overweight","Obese")))</f>
        <v>Obese</v>
      </c>
      <c r="J900">
        <f>IF(E900="yes",1,0)</f>
        <v>0</v>
      </c>
      <c r="K900" t="str">
        <f>IF(G900&gt;15000,"High","Low")</f>
        <v>Low</v>
      </c>
    </row>
    <row r="901" spans="1:11" x14ac:dyDescent="0.35">
      <c r="A901">
        <v>19</v>
      </c>
      <c r="B901" t="s">
        <v>2</v>
      </c>
      <c r="C901">
        <v>22.515000000000001</v>
      </c>
      <c r="D901">
        <v>0</v>
      </c>
      <c r="E901" t="s">
        <v>4</v>
      </c>
      <c r="F901" t="s">
        <v>0</v>
      </c>
      <c r="G901" s="2">
        <v>2117.3388500000001</v>
      </c>
      <c r="H901" s="1" t="str">
        <f>IF(A901&lt;31,"18-30",IF(A901&lt;46,"31-45",IF(A901&lt;61,"46-60","60+")))</f>
        <v>18-30</v>
      </c>
      <c r="I901" t="str">
        <f>IF(C901&lt;18.5,"Underweight",IF(C901&lt;25,"Normal",IF(C901&lt;30,"Overweight","Obese")))</f>
        <v>Normal</v>
      </c>
      <c r="J901">
        <f>IF(E901="yes",1,0)</f>
        <v>0</v>
      </c>
      <c r="K901" t="str">
        <f>IF(G901&gt;15000,"High","Low")</f>
        <v>Low</v>
      </c>
    </row>
    <row r="902" spans="1:11" x14ac:dyDescent="0.35">
      <c r="A902">
        <v>49</v>
      </c>
      <c r="B902" t="s">
        <v>7</v>
      </c>
      <c r="C902">
        <v>22.515000000000001</v>
      </c>
      <c r="D902">
        <v>0</v>
      </c>
      <c r="E902" t="s">
        <v>4</v>
      </c>
      <c r="F902" t="s">
        <v>6</v>
      </c>
      <c r="G902" s="2">
        <v>8688.8588500000005</v>
      </c>
      <c r="H902" s="1" t="str">
        <f>IF(A902&lt;31,"18-30",IF(A902&lt;46,"31-45",IF(A902&lt;61,"46-60","60+")))</f>
        <v>46-60</v>
      </c>
      <c r="I902" t="str">
        <f>IF(C902&lt;18.5,"Underweight",IF(C902&lt;25,"Normal",IF(C902&lt;30,"Overweight","Obese")))</f>
        <v>Normal</v>
      </c>
      <c r="J902">
        <f>IF(E902="yes",1,0)</f>
        <v>0</v>
      </c>
      <c r="K902" t="str">
        <f>IF(G902&gt;15000,"High","Low")</f>
        <v>Low</v>
      </c>
    </row>
    <row r="903" spans="1:11" x14ac:dyDescent="0.35">
      <c r="A903">
        <v>60</v>
      </c>
      <c r="B903" t="s">
        <v>7</v>
      </c>
      <c r="C903">
        <v>40.92</v>
      </c>
      <c r="D903">
        <v>0</v>
      </c>
      <c r="E903" t="s">
        <v>1</v>
      </c>
      <c r="F903" t="s">
        <v>5</v>
      </c>
      <c r="G903" s="2">
        <v>48673.558799999999</v>
      </c>
      <c r="H903" s="1" t="str">
        <f>IF(A903&lt;31,"18-30",IF(A903&lt;46,"31-45",IF(A903&lt;61,"46-60","60+")))</f>
        <v>46-60</v>
      </c>
      <c r="I903" t="str">
        <f>IF(C903&lt;18.5,"Underweight",IF(C903&lt;25,"Normal",IF(C903&lt;30,"Overweight","Obese")))</f>
        <v>Obese</v>
      </c>
      <c r="J903">
        <f>IF(E903="yes",1,0)</f>
        <v>1</v>
      </c>
      <c r="K903" t="str">
        <f>IF(G903&gt;15000,"High","Low")</f>
        <v>High</v>
      </c>
    </row>
    <row r="904" spans="1:11" x14ac:dyDescent="0.35">
      <c r="A904">
        <v>26</v>
      </c>
      <c r="B904" t="s">
        <v>7</v>
      </c>
      <c r="C904">
        <v>27.265000000000001</v>
      </c>
      <c r="D904">
        <v>3</v>
      </c>
      <c r="E904" t="s">
        <v>4</v>
      </c>
      <c r="F904" t="s">
        <v>6</v>
      </c>
      <c r="G904" s="2">
        <v>4661.2863500000003</v>
      </c>
      <c r="H904" s="1" t="str">
        <f>IF(A904&lt;31,"18-30",IF(A904&lt;46,"31-45",IF(A904&lt;61,"46-60","60+")))</f>
        <v>18-30</v>
      </c>
      <c r="I904" t="str">
        <f>IF(C904&lt;18.5,"Underweight",IF(C904&lt;25,"Normal",IF(C904&lt;30,"Overweight","Obese")))</f>
        <v>Overweight</v>
      </c>
      <c r="J904">
        <f>IF(E904="yes",1,0)</f>
        <v>0</v>
      </c>
      <c r="K904" t="str">
        <f>IF(G904&gt;15000,"High","Low")</f>
        <v>Low</v>
      </c>
    </row>
    <row r="905" spans="1:11" x14ac:dyDescent="0.35">
      <c r="A905">
        <v>49</v>
      </c>
      <c r="B905" t="s">
        <v>7</v>
      </c>
      <c r="C905">
        <v>36.85</v>
      </c>
      <c r="D905">
        <v>0</v>
      </c>
      <c r="E905" t="s">
        <v>4</v>
      </c>
      <c r="F905" t="s">
        <v>5</v>
      </c>
      <c r="G905" s="2">
        <v>8125.7844999999998</v>
      </c>
      <c r="H905" s="1" t="str">
        <f>IF(A905&lt;31,"18-30",IF(A905&lt;46,"31-45",IF(A905&lt;61,"46-60","60+")))</f>
        <v>46-60</v>
      </c>
      <c r="I905" t="str">
        <f>IF(C905&lt;18.5,"Underweight",IF(C905&lt;25,"Normal",IF(C905&lt;30,"Overweight","Obese")))</f>
        <v>Obese</v>
      </c>
      <c r="J905">
        <f>IF(E905="yes",1,0)</f>
        <v>0</v>
      </c>
      <c r="K905" t="str">
        <f>IF(G905&gt;15000,"High","Low")</f>
        <v>Low</v>
      </c>
    </row>
    <row r="906" spans="1:11" x14ac:dyDescent="0.35">
      <c r="A906">
        <v>60</v>
      </c>
      <c r="B906" t="s">
        <v>2</v>
      </c>
      <c r="C906">
        <v>35.1</v>
      </c>
      <c r="D906">
        <v>0</v>
      </c>
      <c r="E906" t="s">
        <v>4</v>
      </c>
      <c r="F906" t="s">
        <v>3</v>
      </c>
      <c r="G906" s="2">
        <v>12644.589</v>
      </c>
      <c r="H906" s="1" t="str">
        <f>IF(A906&lt;31,"18-30",IF(A906&lt;46,"31-45",IF(A906&lt;61,"46-60","60+")))</f>
        <v>46-60</v>
      </c>
      <c r="I906" t="str">
        <f>IF(C906&lt;18.5,"Underweight",IF(C906&lt;25,"Normal",IF(C906&lt;30,"Overweight","Obese")))</f>
        <v>Obese</v>
      </c>
      <c r="J906">
        <f>IF(E906="yes",1,0)</f>
        <v>0</v>
      </c>
      <c r="K906" t="str">
        <f>IF(G906&gt;15000,"High","Low")</f>
        <v>Low</v>
      </c>
    </row>
    <row r="907" spans="1:11" x14ac:dyDescent="0.35">
      <c r="A907">
        <v>26</v>
      </c>
      <c r="B907" t="s">
        <v>2</v>
      </c>
      <c r="C907">
        <v>29.355</v>
      </c>
      <c r="D907">
        <v>2</v>
      </c>
      <c r="E907" t="s">
        <v>4</v>
      </c>
      <c r="F907" t="s">
        <v>6</v>
      </c>
      <c r="G907" s="2">
        <v>4564.1914500000003</v>
      </c>
      <c r="H907" s="1" t="str">
        <f>IF(A907&lt;31,"18-30",IF(A907&lt;46,"31-45",IF(A907&lt;61,"46-60","60+")))</f>
        <v>18-30</v>
      </c>
      <c r="I907" t="str">
        <f>IF(C907&lt;18.5,"Underweight",IF(C907&lt;25,"Normal",IF(C907&lt;30,"Overweight","Obese")))</f>
        <v>Overweight</v>
      </c>
      <c r="J907">
        <f>IF(E907="yes",1,0)</f>
        <v>0</v>
      </c>
      <c r="K907" t="str">
        <f>IF(G907&gt;15000,"High","Low")</f>
        <v>Low</v>
      </c>
    </row>
    <row r="908" spans="1:11" x14ac:dyDescent="0.35">
      <c r="A908">
        <v>27</v>
      </c>
      <c r="B908" t="s">
        <v>7</v>
      </c>
      <c r="C908">
        <v>32.585000000000001</v>
      </c>
      <c r="D908">
        <v>3</v>
      </c>
      <c r="E908" t="s">
        <v>4</v>
      </c>
      <c r="F908" t="s">
        <v>6</v>
      </c>
      <c r="G908" s="2">
        <v>4846.9201499999999</v>
      </c>
      <c r="H908" s="1" t="str">
        <f>IF(A908&lt;31,"18-30",IF(A908&lt;46,"31-45",IF(A908&lt;61,"46-60","60+")))</f>
        <v>18-30</v>
      </c>
      <c r="I908" t="str">
        <f>IF(C908&lt;18.5,"Underweight",IF(C908&lt;25,"Normal",IF(C908&lt;30,"Overweight","Obese")))</f>
        <v>Obese</v>
      </c>
      <c r="J908">
        <f>IF(E908="yes",1,0)</f>
        <v>0</v>
      </c>
      <c r="K908" t="str">
        <f>IF(G908&gt;15000,"High","Low")</f>
        <v>Low</v>
      </c>
    </row>
    <row r="909" spans="1:11" x14ac:dyDescent="0.35">
      <c r="A909">
        <v>44</v>
      </c>
      <c r="B909" t="s">
        <v>2</v>
      </c>
      <c r="C909">
        <v>32.340000000000003</v>
      </c>
      <c r="D909">
        <v>1</v>
      </c>
      <c r="E909" t="s">
        <v>4</v>
      </c>
      <c r="F909" t="s">
        <v>5</v>
      </c>
      <c r="G909" s="2">
        <v>7633.7205999999996</v>
      </c>
      <c r="H909" s="1" t="str">
        <f>IF(A909&lt;31,"18-30",IF(A909&lt;46,"31-45",IF(A909&lt;61,"46-60","60+")))</f>
        <v>31-45</v>
      </c>
      <c r="I909" t="str">
        <f>IF(C909&lt;18.5,"Underweight",IF(C909&lt;25,"Normal",IF(C909&lt;30,"Overweight","Obese")))</f>
        <v>Obese</v>
      </c>
      <c r="J909">
        <f>IF(E909="yes",1,0)</f>
        <v>0</v>
      </c>
      <c r="K909" t="str">
        <f>IF(G909&gt;15000,"High","Low")</f>
        <v>Low</v>
      </c>
    </row>
    <row r="910" spans="1:11" x14ac:dyDescent="0.35">
      <c r="A910">
        <v>63</v>
      </c>
      <c r="B910" t="s">
        <v>7</v>
      </c>
      <c r="C910">
        <v>39.799999999999997</v>
      </c>
      <c r="D910">
        <v>3</v>
      </c>
      <c r="E910" t="s">
        <v>4</v>
      </c>
      <c r="F910" t="s">
        <v>3</v>
      </c>
      <c r="G910" s="2">
        <v>15170.069</v>
      </c>
      <c r="H910" s="1" t="str">
        <f>IF(A910&lt;31,"18-30",IF(A910&lt;46,"31-45",IF(A910&lt;61,"46-60","60+")))</f>
        <v>60+</v>
      </c>
      <c r="I910" t="str">
        <f>IF(C910&lt;18.5,"Underweight",IF(C910&lt;25,"Normal",IF(C910&lt;30,"Overweight","Obese")))</f>
        <v>Obese</v>
      </c>
      <c r="J910">
        <f>IF(E910="yes",1,0)</f>
        <v>0</v>
      </c>
      <c r="K910" t="str">
        <f>IF(G910&gt;15000,"High","Low")</f>
        <v>High</v>
      </c>
    </row>
    <row r="911" spans="1:11" x14ac:dyDescent="0.35">
      <c r="A911">
        <v>32</v>
      </c>
      <c r="B911" t="s">
        <v>2</v>
      </c>
      <c r="C911">
        <v>24.6</v>
      </c>
      <c r="D911">
        <v>0</v>
      </c>
      <c r="E911" t="s">
        <v>1</v>
      </c>
      <c r="F911" t="s">
        <v>3</v>
      </c>
      <c r="G911" s="2">
        <v>17496.306</v>
      </c>
      <c r="H911" s="1" t="str">
        <f>IF(A911&lt;31,"18-30",IF(A911&lt;46,"31-45",IF(A911&lt;61,"46-60","60+")))</f>
        <v>31-45</v>
      </c>
      <c r="I911" t="str">
        <f>IF(C911&lt;18.5,"Underweight",IF(C911&lt;25,"Normal",IF(C911&lt;30,"Overweight","Obese")))</f>
        <v>Normal</v>
      </c>
      <c r="J911">
        <f>IF(E911="yes",1,0)</f>
        <v>1</v>
      </c>
      <c r="K911" t="str">
        <f>IF(G911&gt;15000,"High","Low")</f>
        <v>High</v>
      </c>
    </row>
    <row r="912" spans="1:11" x14ac:dyDescent="0.35">
      <c r="A912">
        <v>22</v>
      </c>
      <c r="B912" t="s">
        <v>7</v>
      </c>
      <c r="C912">
        <v>28.31</v>
      </c>
      <c r="D912">
        <v>1</v>
      </c>
      <c r="E912" t="s">
        <v>4</v>
      </c>
      <c r="F912" t="s">
        <v>0</v>
      </c>
      <c r="G912" s="2">
        <v>2639.0428999999999</v>
      </c>
      <c r="H912" s="1" t="str">
        <f>IF(A912&lt;31,"18-30",IF(A912&lt;46,"31-45",IF(A912&lt;61,"46-60","60+")))</f>
        <v>18-30</v>
      </c>
      <c r="I912" t="str">
        <f>IF(C912&lt;18.5,"Underweight",IF(C912&lt;25,"Normal",IF(C912&lt;30,"Overweight","Obese")))</f>
        <v>Overweight</v>
      </c>
      <c r="J912">
        <f>IF(E912="yes",1,0)</f>
        <v>0</v>
      </c>
      <c r="K912" t="str">
        <f>IF(G912&gt;15000,"High","Low")</f>
        <v>Low</v>
      </c>
    </row>
    <row r="913" spans="1:11" x14ac:dyDescent="0.35">
      <c r="A913">
        <v>18</v>
      </c>
      <c r="B913" t="s">
        <v>7</v>
      </c>
      <c r="C913">
        <v>31.73</v>
      </c>
      <c r="D913">
        <v>0</v>
      </c>
      <c r="E913" t="s">
        <v>1</v>
      </c>
      <c r="F913" t="s">
        <v>6</v>
      </c>
      <c r="G913" s="2">
        <v>33732.686699999998</v>
      </c>
      <c r="H913" s="1" t="str">
        <f>IF(A913&lt;31,"18-30",IF(A913&lt;46,"31-45",IF(A913&lt;61,"46-60","60+")))</f>
        <v>18-30</v>
      </c>
      <c r="I913" t="str">
        <f>IF(C913&lt;18.5,"Underweight",IF(C913&lt;25,"Normal",IF(C913&lt;30,"Overweight","Obese")))</f>
        <v>Obese</v>
      </c>
      <c r="J913">
        <f>IF(E913="yes",1,0)</f>
        <v>1</v>
      </c>
      <c r="K913" t="str">
        <f>IF(G913&gt;15000,"High","Low")</f>
        <v>High</v>
      </c>
    </row>
    <row r="914" spans="1:11" x14ac:dyDescent="0.35">
      <c r="A914">
        <v>59</v>
      </c>
      <c r="B914" t="s">
        <v>2</v>
      </c>
      <c r="C914">
        <v>26.695</v>
      </c>
      <c r="D914">
        <v>3</v>
      </c>
      <c r="E914" t="s">
        <v>4</v>
      </c>
      <c r="F914" t="s">
        <v>0</v>
      </c>
      <c r="G914" s="2">
        <v>14382.709049999999</v>
      </c>
      <c r="H914" s="1" t="str">
        <f>IF(A914&lt;31,"18-30",IF(A914&lt;46,"31-45",IF(A914&lt;61,"46-60","60+")))</f>
        <v>46-60</v>
      </c>
      <c r="I914" t="str">
        <f>IF(C914&lt;18.5,"Underweight",IF(C914&lt;25,"Normal",IF(C914&lt;30,"Overweight","Obese")))</f>
        <v>Overweight</v>
      </c>
      <c r="J914">
        <f>IF(E914="yes",1,0)</f>
        <v>0</v>
      </c>
      <c r="K914" t="str">
        <f>IF(G914&gt;15000,"High","Low")</f>
        <v>Low</v>
      </c>
    </row>
    <row r="915" spans="1:11" x14ac:dyDescent="0.35">
      <c r="A915">
        <v>44</v>
      </c>
      <c r="B915" t="s">
        <v>2</v>
      </c>
      <c r="C915">
        <v>27.5</v>
      </c>
      <c r="D915">
        <v>1</v>
      </c>
      <c r="E915" t="s">
        <v>4</v>
      </c>
      <c r="F915" t="s">
        <v>3</v>
      </c>
      <c r="G915" s="2">
        <v>7626.9930000000004</v>
      </c>
      <c r="H915" s="1" t="str">
        <f>IF(A915&lt;31,"18-30",IF(A915&lt;46,"31-45",IF(A915&lt;61,"46-60","60+")))</f>
        <v>31-45</v>
      </c>
      <c r="I915" t="str">
        <f>IF(C915&lt;18.5,"Underweight",IF(C915&lt;25,"Normal",IF(C915&lt;30,"Overweight","Obese")))</f>
        <v>Overweight</v>
      </c>
      <c r="J915">
        <f>IF(E915="yes",1,0)</f>
        <v>0</v>
      </c>
      <c r="K915" t="str">
        <f>IF(G915&gt;15000,"High","Low")</f>
        <v>Low</v>
      </c>
    </row>
    <row r="916" spans="1:11" x14ac:dyDescent="0.35">
      <c r="A916">
        <v>33</v>
      </c>
      <c r="B916" t="s">
        <v>7</v>
      </c>
      <c r="C916">
        <v>24.605</v>
      </c>
      <c r="D916">
        <v>2</v>
      </c>
      <c r="E916" t="s">
        <v>4</v>
      </c>
      <c r="F916" t="s">
        <v>0</v>
      </c>
      <c r="G916" s="2">
        <v>5257.5079500000002</v>
      </c>
      <c r="H916" s="1" t="str">
        <f>IF(A916&lt;31,"18-30",IF(A916&lt;46,"31-45",IF(A916&lt;61,"46-60","60+")))</f>
        <v>31-45</v>
      </c>
      <c r="I916" t="str">
        <f>IF(C916&lt;18.5,"Underweight",IF(C916&lt;25,"Normal",IF(C916&lt;30,"Overweight","Obese")))</f>
        <v>Normal</v>
      </c>
      <c r="J916">
        <f>IF(E916="yes",1,0)</f>
        <v>0</v>
      </c>
      <c r="K916" t="str">
        <f>IF(G916&gt;15000,"High","Low")</f>
        <v>Low</v>
      </c>
    </row>
    <row r="917" spans="1:11" x14ac:dyDescent="0.35">
      <c r="A917">
        <v>24</v>
      </c>
      <c r="B917" t="s">
        <v>2</v>
      </c>
      <c r="C917">
        <v>33.99</v>
      </c>
      <c r="D917">
        <v>0</v>
      </c>
      <c r="E917" t="s">
        <v>4</v>
      </c>
      <c r="F917" t="s">
        <v>5</v>
      </c>
      <c r="G917" s="2">
        <v>2473.3341</v>
      </c>
      <c r="H917" s="1" t="str">
        <f>IF(A917&lt;31,"18-30",IF(A917&lt;46,"31-45",IF(A917&lt;61,"46-60","60+")))</f>
        <v>18-30</v>
      </c>
      <c r="I917" t="str">
        <f>IF(C917&lt;18.5,"Underweight",IF(C917&lt;25,"Normal",IF(C917&lt;30,"Overweight","Obese")))</f>
        <v>Obese</v>
      </c>
      <c r="J917">
        <f>IF(E917="yes",1,0)</f>
        <v>0</v>
      </c>
      <c r="K917" t="str">
        <f>IF(G917&gt;15000,"High","Low")</f>
        <v>Low</v>
      </c>
    </row>
    <row r="918" spans="1:11" x14ac:dyDescent="0.35">
      <c r="A918">
        <v>43</v>
      </c>
      <c r="B918" t="s">
        <v>2</v>
      </c>
      <c r="C918">
        <v>26.885000000000002</v>
      </c>
      <c r="D918">
        <v>0</v>
      </c>
      <c r="E918" t="s">
        <v>1</v>
      </c>
      <c r="F918" t="s">
        <v>0</v>
      </c>
      <c r="G918" s="2">
        <v>21774.32215</v>
      </c>
      <c r="H918" s="1" t="str">
        <f>IF(A918&lt;31,"18-30",IF(A918&lt;46,"31-45",IF(A918&lt;61,"46-60","60+")))</f>
        <v>31-45</v>
      </c>
      <c r="I918" t="str">
        <f>IF(C918&lt;18.5,"Underweight",IF(C918&lt;25,"Normal",IF(C918&lt;30,"Overweight","Obese")))</f>
        <v>Overweight</v>
      </c>
      <c r="J918">
        <f>IF(E918="yes",1,0)</f>
        <v>1</v>
      </c>
      <c r="K918" t="str">
        <f>IF(G918&gt;15000,"High","Low")</f>
        <v>High</v>
      </c>
    </row>
    <row r="919" spans="1:11" x14ac:dyDescent="0.35">
      <c r="A919">
        <v>45</v>
      </c>
      <c r="B919" t="s">
        <v>7</v>
      </c>
      <c r="C919">
        <v>22.895</v>
      </c>
      <c r="D919">
        <v>0</v>
      </c>
      <c r="E919" t="s">
        <v>1</v>
      </c>
      <c r="F919" t="s">
        <v>6</v>
      </c>
      <c r="G919" s="2">
        <v>35069.374519999998</v>
      </c>
      <c r="H919" s="1" t="str">
        <f>IF(A919&lt;31,"18-30",IF(A919&lt;46,"31-45",IF(A919&lt;61,"46-60","60+")))</f>
        <v>31-45</v>
      </c>
      <c r="I919" t="str">
        <f>IF(C919&lt;18.5,"Underweight",IF(C919&lt;25,"Normal",IF(C919&lt;30,"Overweight","Obese")))</f>
        <v>Normal</v>
      </c>
      <c r="J919">
        <f>IF(E919="yes",1,0)</f>
        <v>1</v>
      </c>
      <c r="K919" t="str">
        <f>IF(G919&gt;15000,"High","Low")</f>
        <v>High</v>
      </c>
    </row>
    <row r="920" spans="1:11" x14ac:dyDescent="0.35">
      <c r="A920">
        <v>61</v>
      </c>
      <c r="B920" t="s">
        <v>2</v>
      </c>
      <c r="C920">
        <v>28.2</v>
      </c>
      <c r="D920">
        <v>0</v>
      </c>
      <c r="E920" t="s">
        <v>4</v>
      </c>
      <c r="F920" t="s">
        <v>3</v>
      </c>
      <c r="G920" s="2">
        <v>13041.921</v>
      </c>
      <c r="H920" s="1" t="str">
        <f>IF(A920&lt;31,"18-30",IF(A920&lt;46,"31-45",IF(A920&lt;61,"46-60","60+")))</f>
        <v>60+</v>
      </c>
      <c r="I920" t="str">
        <f>IF(C920&lt;18.5,"Underweight",IF(C920&lt;25,"Normal",IF(C920&lt;30,"Overweight","Obese")))</f>
        <v>Overweight</v>
      </c>
      <c r="J920">
        <f>IF(E920="yes",1,0)</f>
        <v>0</v>
      </c>
      <c r="K920" t="str">
        <f>IF(G920&gt;15000,"High","Low")</f>
        <v>Low</v>
      </c>
    </row>
    <row r="921" spans="1:11" x14ac:dyDescent="0.35">
      <c r="A921">
        <v>35</v>
      </c>
      <c r="B921" t="s">
        <v>2</v>
      </c>
      <c r="C921">
        <v>34.21</v>
      </c>
      <c r="D921">
        <v>1</v>
      </c>
      <c r="E921" t="s">
        <v>4</v>
      </c>
      <c r="F921" t="s">
        <v>5</v>
      </c>
      <c r="G921" s="2">
        <v>5245.2268999999997</v>
      </c>
      <c r="H921" s="1" t="str">
        <f>IF(A921&lt;31,"18-30",IF(A921&lt;46,"31-45",IF(A921&lt;61,"46-60","60+")))</f>
        <v>31-45</v>
      </c>
      <c r="I921" t="str">
        <f>IF(C921&lt;18.5,"Underweight",IF(C921&lt;25,"Normal",IF(C921&lt;30,"Overweight","Obese")))</f>
        <v>Obese</v>
      </c>
      <c r="J921">
        <f>IF(E921="yes",1,0)</f>
        <v>0</v>
      </c>
      <c r="K921" t="str">
        <f>IF(G921&gt;15000,"High","Low")</f>
        <v>Low</v>
      </c>
    </row>
    <row r="922" spans="1:11" x14ac:dyDescent="0.35">
      <c r="A922">
        <v>62</v>
      </c>
      <c r="B922" t="s">
        <v>2</v>
      </c>
      <c r="C922">
        <v>25</v>
      </c>
      <c r="D922">
        <v>0</v>
      </c>
      <c r="E922" t="s">
        <v>4</v>
      </c>
      <c r="F922" t="s">
        <v>3</v>
      </c>
      <c r="G922" s="2">
        <v>13451.121999999999</v>
      </c>
      <c r="H922" s="1" t="str">
        <f>IF(A922&lt;31,"18-30",IF(A922&lt;46,"31-45",IF(A922&lt;61,"46-60","60+")))</f>
        <v>60+</v>
      </c>
      <c r="I922" t="str">
        <f>IF(C922&lt;18.5,"Underweight",IF(C922&lt;25,"Normal",IF(C922&lt;30,"Overweight","Obese")))</f>
        <v>Overweight</v>
      </c>
      <c r="J922">
        <f>IF(E922="yes",1,0)</f>
        <v>0</v>
      </c>
      <c r="K922" t="str">
        <f>IF(G922&gt;15000,"High","Low")</f>
        <v>Low</v>
      </c>
    </row>
    <row r="923" spans="1:11" x14ac:dyDescent="0.35">
      <c r="A923">
        <v>62</v>
      </c>
      <c r="B923" t="s">
        <v>2</v>
      </c>
      <c r="C923">
        <v>33.200000000000003</v>
      </c>
      <c r="D923">
        <v>0</v>
      </c>
      <c r="E923" t="s">
        <v>4</v>
      </c>
      <c r="F923" t="s">
        <v>3</v>
      </c>
      <c r="G923" s="2">
        <v>13462.52</v>
      </c>
      <c r="H923" s="1" t="str">
        <f>IF(A923&lt;31,"18-30",IF(A923&lt;46,"31-45",IF(A923&lt;61,"46-60","60+")))</f>
        <v>60+</v>
      </c>
      <c r="I923" t="str">
        <f>IF(C923&lt;18.5,"Underweight",IF(C923&lt;25,"Normal",IF(C923&lt;30,"Overweight","Obese")))</f>
        <v>Obese</v>
      </c>
      <c r="J923">
        <f>IF(E923="yes",1,0)</f>
        <v>0</v>
      </c>
      <c r="K923" t="str">
        <f>IF(G923&gt;15000,"High","Low")</f>
        <v>Low</v>
      </c>
    </row>
    <row r="924" spans="1:11" x14ac:dyDescent="0.35">
      <c r="A924">
        <v>38</v>
      </c>
      <c r="B924" t="s">
        <v>7</v>
      </c>
      <c r="C924">
        <v>31</v>
      </c>
      <c r="D924">
        <v>1</v>
      </c>
      <c r="E924" t="s">
        <v>4</v>
      </c>
      <c r="F924" t="s">
        <v>3</v>
      </c>
      <c r="G924" s="2">
        <v>5488.2619999999997</v>
      </c>
      <c r="H924" s="1" t="str">
        <f>IF(A924&lt;31,"18-30",IF(A924&lt;46,"31-45",IF(A924&lt;61,"46-60","60+")))</f>
        <v>31-45</v>
      </c>
      <c r="I924" t="str">
        <f>IF(C924&lt;18.5,"Underweight",IF(C924&lt;25,"Normal",IF(C924&lt;30,"Overweight","Obese")))</f>
        <v>Obese</v>
      </c>
      <c r="J924">
        <f>IF(E924="yes",1,0)</f>
        <v>0</v>
      </c>
      <c r="K924" t="str">
        <f>IF(G924&gt;15000,"High","Low")</f>
        <v>Low</v>
      </c>
    </row>
    <row r="925" spans="1:11" x14ac:dyDescent="0.35">
      <c r="A925">
        <v>34</v>
      </c>
      <c r="B925" t="s">
        <v>7</v>
      </c>
      <c r="C925">
        <v>35.814999999999998</v>
      </c>
      <c r="D925">
        <v>0</v>
      </c>
      <c r="E925" t="s">
        <v>4</v>
      </c>
      <c r="F925" t="s">
        <v>0</v>
      </c>
      <c r="G925" s="2">
        <v>4320.4108500000002</v>
      </c>
      <c r="H925" s="1" t="str">
        <f>IF(A925&lt;31,"18-30",IF(A925&lt;46,"31-45",IF(A925&lt;61,"46-60","60+")))</f>
        <v>31-45</v>
      </c>
      <c r="I925" t="str">
        <f>IF(C925&lt;18.5,"Underweight",IF(C925&lt;25,"Normal",IF(C925&lt;30,"Overweight","Obese")))</f>
        <v>Obese</v>
      </c>
      <c r="J925">
        <f>IF(E925="yes",1,0)</f>
        <v>0</v>
      </c>
      <c r="K925" t="str">
        <f>IF(G925&gt;15000,"High","Low")</f>
        <v>Low</v>
      </c>
    </row>
    <row r="926" spans="1:11" x14ac:dyDescent="0.35">
      <c r="A926">
        <v>43</v>
      </c>
      <c r="B926" t="s">
        <v>7</v>
      </c>
      <c r="C926">
        <v>23.2</v>
      </c>
      <c r="D926">
        <v>0</v>
      </c>
      <c r="E926" t="s">
        <v>4</v>
      </c>
      <c r="F926" t="s">
        <v>3</v>
      </c>
      <c r="G926" s="2">
        <v>6250.4350000000004</v>
      </c>
      <c r="H926" s="1" t="str">
        <f>IF(A926&lt;31,"18-30",IF(A926&lt;46,"31-45",IF(A926&lt;61,"46-60","60+")))</f>
        <v>31-45</v>
      </c>
      <c r="I926" t="str">
        <f>IF(C926&lt;18.5,"Underweight",IF(C926&lt;25,"Normal",IF(C926&lt;30,"Overweight","Obese")))</f>
        <v>Normal</v>
      </c>
      <c r="J926">
        <f>IF(E926="yes",1,0)</f>
        <v>0</v>
      </c>
      <c r="K926" t="str">
        <f>IF(G926&gt;15000,"High","Low")</f>
        <v>Low</v>
      </c>
    </row>
    <row r="927" spans="1:11" x14ac:dyDescent="0.35">
      <c r="A927">
        <v>50</v>
      </c>
      <c r="B927" t="s">
        <v>7</v>
      </c>
      <c r="C927">
        <v>32.11</v>
      </c>
      <c r="D927">
        <v>2</v>
      </c>
      <c r="E927" t="s">
        <v>4</v>
      </c>
      <c r="F927" t="s">
        <v>6</v>
      </c>
      <c r="G927" s="2">
        <v>25333.332839999999</v>
      </c>
      <c r="H927" s="1" t="str">
        <f>IF(A927&lt;31,"18-30",IF(A927&lt;46,"31-45",IF(A927&lt;61,"46-60","60+")))</f>
        <v>46-60</v>
      </c>
      <c r="I927" t="str">
        <f>IF(C927&lt;18.5,"Underweight",IF(C927&lt;25,"Normal",IF(C927&lt;30,"Overweight","Obese")))</f>
        <v>Obese</v>
      </c>
      <c r="J927">
        <f>IF(E927="yes",1,0)</f>
        <v>0</v>
      </c>
      <c r="K927" t="str">
        <f>IF(G927&gt;15000,"High","Low")</f>
        <v>High</v>
      </c>
    </row>
    <row r="928" spans="1:11" x14ac:dyDescent="0.35">
      <c r="A928">
        <v>19</v>
      </c>
      <c r="B928" t="s">
        <v>2</v>
      </c>
      <c r="C928">
        <v>23.4</v>
      </c>
      <c r="D928">
        <v>2</v>
      </c>
      <c r="E928" t="s">
        <v>4</v>
      </c>
      <c r="F928" t="s">
        <v>3</v>
      </c>
      <c r="G928" s="2">
        <v>2913.569</v>
      </c>
      <c r="H928" s="1" t="str">
        <f>IF(A928&lt;31,"18-30",IF(A928&lt;46,"31-45",IF(A928&lt;61,"46-60","60+")))</f>
        <v>18-30</v>
      </c>
      <c r="I928" t="str">
        <f>IF(C928&lt;18.5,"Underweight",IF(C928&lt;25,"Normal",IF(C928&lt;30,"Overweight","Obese")))</f>
        <v>Normal</v>
      </c>
      <c r="J928">
        <f>IF(E928="yes",1,0)</f>
        <v>0</v>
      </c>
      <c r="K928" t="str">
        <f>IF(G928&gt;15000,"High","Low")</f>
        <v>Low</v>
      </c>
    </row>
    <row r="929" spans="1:11" x14ac:dyDescent="0.35">
      <c r="A929">
        <v>57</v>
      </c>
      <c r="B929" t="s">
        <v>2</v>
      </c>
      <c r="C929">
        <v>20.100000000000001</v>
      </c>
      <c r="D929">
        <v>1</v>
      </c>
      <c r="E929" t="s">
        <v>4</v>
      </c>
      <c r="F929" t="s">
        <v>3</v>
      </c>
      <c r="G929" s="2">
        <v>12032.325999999999</v>
      </c>
      <c r="H929" s="1" t="str">
        <f>IF(A929&lt;31,"18-30",IF(A929&lt;46,"31-45",IF(A929&lt;61,"46-60","60+")))</f>
        <v>46-60</v>
      </c>
      <c r="I929" t="str">
        <f>IF(C929&lt;18.5,"Underweight",IF(C929&lt;25,"Normal",IF(C929&lt;30,"Overweight","Obese")))</f>
        <v>Normal</v>
      </c>
      <c r="J929">
        <f>IF(E929="yes",1,0)</f>
        <v>0</v>
      </c>
      <c r="K929" t="str">
        <f>IF(G929&gt;15000,"High","Low")</f>
        <v>Low</v>
      </c>
    </row>
    <row r="930" spans="1:11" x14ac:dyDescent="0.35">
      <c r="A930">
        <v>62</v>
      </c>
      <c r="B930" t="s">
        <v>2</v>
      </c>
      <c r="C930">
        <v>39.159999999999997</v>
      </c>
      <c r="D930">
        <v>0</v>
      </c>
      <c r="E930" t="s">
        <v>4</v>
      </c>
      <c r="F930" t="s">
        <v>5</v>
      </c>
      <c r="G930" s="2">
        <v>13470.804400000001</v>
      </c>
      <c r="H930" s="1" t="str">
        <f>IF(A930&lt;31,"18-30",IF(A930&lt;46,"31-45",IF(A930&lt;61,"46-60","60+")))</f>
        <v>60+</v>
      </c>
      <c r="I930" t="str">
        <f>IF(C930&lt;18.5,"Underweight",IF(C930&lt;25,"Normal",IF(C930&lt;30,"Overweight","Obese")))</f>
        <v>Obese</v>
      </c>
      <c r="J930">
        <f>IF(E930="yes",1,0)</f>
        <v>0</v>
      </c>
      <c r="K930" t="str">
        <f>IF(G930&gt;15000,"High","Low")</f>
        <v>Low</v>
      </c>
    </row>
    <row r="931" spans="1:11" x14ac:dyDescent="0.35">
      <c r="A931">
        <v>41</v>
      </c>
      <c r="B931" t="s">
        <v>7</v>
      </c>
      <c r="C931">
        <v>34.21</v>
      </c>
      <c r="D931">
        <v>1</v>
      </c>
      <c r="E931" t="s">
        <v>4</v>
      </c>
      <c r="F931" t="s">
        <v>5</v>
      </c>
      <c r="G931" s="2">
        <v>6289.7548999999999</v>
      </c>
      <c r="H931" s="1" t="str">
        <f>IF(A931&lt;31,"18-30",IF(A931&lt;46,"31-45",IF(A931&lt;61,"46-60","60+")))</f>
        <v>31-45</v>
      </c>
      <c r="I931" t="str">
        <f>IF(C931&lt;18.5,"Underweight",IF(C931&lt;25,"Normal",IF(C931&lt;30,"Overweight","Obese")))</f>
        <v>Obese</v>
      </c>
      <c r="J931">
        <f>IF(E931="yes",1,0)</f>
        <v>0</v>
      </c>
      <c r="K931" t="str">
        <f>IF(G931&gt;15000,"High","Low")</f>
        <v>Low</v>
      </c>
    </row>
    <row r="932" spans="1:11" x14ac:dyDescent="0.35">
      <c r="A932">
        <v>26</v>
      </c>
      <c r="B932" t="s">
        <v>7</v>
      </c>
      <c r="C932">
        <v>46.53</v>
      </c>
      <c r="D932">
        <v>1</v>
      </c>
      <c r="E932" t="s">
        <v>4</v>
      </c>
      <c r="F932" t="s">
        <v>5</v>
      </c>
      <c r="G932" s="2">
        <v>2927.0646999999999</v>
      </c>
      <c r="H932" s="1" t="str">
        <f>IF(A932&lt;31,"18-30",IF(A932&lt;46,"31-45",IF(A932&lt;61,"46-60","60+")))</f>
        <v>18-30</v>
      </c>
      <c r="I932" t="str">
        <f>IF(C932&lt;18.5,"Underweight",IF(C932&lt;25,"Normal",IF(C932&lt;30,"Overweight","Obese")))</f>
        <v>Obese</v>
      </c>
      <c r="J932">
        <f>IF(E932="yes",1,0)</f>
        <v>0</v>
      </c>
      <c r="K932" t="str">
        <f>IF(G932&gt;15000,"High","Low")</f>
        <v>Low</v>
      </c>
    </row>
    <row r="933" spans="1:11" x14ac:dyDescent="0.35">
      <c r="A933">
        <v>39</v>
      </c>
      <c r="B933" t="s">
        <v>2</v>
      </c>
      <c r="C933">
        <v>32.5</v>
      </c>
      <c r="D933">
        <v>1</v>
      </c>
      <c r="E933" t="s">
        <v>4</v>
      </c>
      <c r="F933" t="s">
        <v>3</v>
      </c>
      <c r="G933" s="2">
        <v>6238.2979999999998</v>
      </c>
      <c r="H933" s="1" t="str">
        <f>IF(A933&lt;31,"18-30",IF(A933&lt;46,"31-45",IF(A933&lt;61,"46-60","60+")))</f>
        <v>31-45</v>
      </c>
      <c r="I933" t="str">
        <f>IF(C933&lt;18.5,"Underweight",IF(C933&lt;25,"Normal",IF(C933&lt;30,"Overweight","Obese")))</f>
        <v>Obese</v>
      </c>
      <c r="J933">
        <f>IF(E933="yes",1,0)</f>
        <v>0</v>
      </c>
      <c r="K933" t="str">
        <f>IF(G933&gt;15000,"High","Low")</f>
        <v>Low</v>
      </c>
    </row>
    <row r="934" spans="1:11" x14ac:dyDescent="0.35">
      <c r="A934">
        <v>46</v>
      </c>
      <c r="B934" t="s">
        <v>7</v>
      </c>
      <c r="C934">
        <v>25.8</v>
      </c>
      <c r="D934">
        <v>5</v>
      </c>
      <c r="E934" t="s">
        <v>4</v>
      </c>
      <c r="F934" t="s">
        <v>3</v>
      </c>
      <c r="G934" s="2">
        <v>10096.969999999999</v>
      </c>
      <c r="H934" s="1" t="str">
        <f>IF(A934&lt;31,"18-30",IF(A934&lt;46,"31-45",IF(A934&lt;61,"46-60","60+")))</f>
        <v>46-60</v>
      </c>
      <c r="I934" t="str">
        <f>IF(C934&lt;18.5,"Underweight",IF(C934&lt;25,"Normal",IF(C934&lt;30,"Overweight","Obese")))</f>
        <v>Overweight</v>
      </c>
      <c r="J934">
        <f>IF(E934="yes",1,0)</f>
        <v>0</v>
      </c>
      <c r="K934" t="str">
        <f>IF(G934&gt;15000,"High","Low")</f>
        <v>Low</v>
      </c>
    </row>
    <row r="935" spans="1:11" x14ac:dyDescent="0.35">
      <c r="A935">
        <v>45</v>
      </c>
      <c r="B935" t="s">
        <v>2</v>
      </c>
      <c r="C935">
        <v>35.299999999999997</v>
      </c>
      <c r="D935">
        <v>0</v>
      </c>
      <c r="E935" t="s">
        <v>4</v>
      </c>
      <c r="F935" t="s">
        <v>3</v>
      </c>
      <c r="G935" s="2">
        <v>7348.1419999999998</v>
      </c>
      <c r="H935" s="1" t="str">
        <f>IF(A935&lt;31,"18-30",IF(A935&lt;46,"31-45",IF(A935&lt;61,"46-60","60+")))</f>
        <v>31-45</v>
      </c>
      <c r="I935" t="str">
        <f>IF(C935&lt;18.5,"Underweight",IF(C935&lt;25,"Normal",IF(C935&lt;30,"Overweight","Obese")))</f>
        <v>Obese</v>
      </c>
      <c r="J935">
        <f>IF(E935="yes",1,0)</f>
        <v>0</v>
      </c>
      <c r="K935" t="str">
        <f>IF(G935&gt;15000,"High","Low")</f>
        <v>Low</v>
      </c>
    </row>
    <row r="936" spans="1:11" x14ac:dyDescent="0.35">
      <c r="A936">
        <v>32</v>
      </c>
      <c r="B936" t="s">
        <v>7</v>
      </c>
      <c r="C936">
        <v>37.18</v>
      </c>
      <c r="D936">
        <v>2</v>
      </c>
      <c r="E936" t="s">
        <v>4</v>
      </c>
      <c r="F936" t="s">
        <v>5</v>
      </c>
      <c r="G936" s="2">
        <v>4673.3922000000002</v>
      </c>
      <c r="H936" s="1" t="str">
        <f>IF(A936&lt;31,"18-30",IF(A936&lt;46,"31-45",IF(A936&lt;61,"46-60","60+")))</f>
        <v>31-45</v>
      </c>
      <c r="I936" t="str">
        <f>IF(C936&lt;18.5,"Underweight",IF(C936&lt;25,"Normal",IF(C936&lt;30,"Overweight","Obese")))</f>
        <v>Obese</v>
      </c>
      <c r="J936">
        <f>IF(E936="yes",1,0)</f>
        <v>0</v>
      </c>
      <c r="K936" t="str">
        <f>IF(G936&gt;15000,"High","Low")</f>
        <v>Low</v>
      </c>
    </row>
    <row r="937" spans="1:11" x14ac:dyDescent="0.35">
      <c r="A937">
        <v>59</v>
      </c>
      <c r="B937" t="s">
        <v>2</v>
      </c>
      <c r="C937">
        <v>27.5</v>
      </c>
      <c r="D937">
        <v>0</v>
      </c>
      <c r="E937" t="s">
        <v>4</v>
      </c>
      <c r="F937" t="s">
        <v>3</v>
      </c>
      <c r="G937" s="2">
        <v>12233.828</v>
      </c>
      <c r="H937" s="1" t="str">
        <f>IF(A937&lt;31,"18-30",IF(A937&lt;46,"31-45",IF(A937&lt;61,"46-60","60+")))</f>
        <v>46-60</v>
      </c>
      <c r="I937" t="str">
        <f>IF(C937&lt;18.5,"Underweight",IF(C937&lt;25,"Normal",IF(C937&lt;30,"Overweight","Obese")))</f>
        <v>Overweight</v>
      </c>
      <c r="J937">
        <f>IF(E937="yes",1,0)</f>
        <v>0</v>
      </c>
      <c r="K937" t="str">
        <f>IF(G937&gt;15000,"High","Low")</f>
        <v>Low</v>
      </c>
    </row>
    <row r="938" spans="1:11" x14ac:dyDescent="0.35">
      <c r="A938">
        <v>44</v>
      </c>
      <c r="B938" t="s">
        <v>7</v>
      </c>
      <c r="C938">
        <v>29.734999999999999</v>
      </c>
      <c r="D938">
        <v>2</v>
      </c>
      <c r="E938" t="s">
        <v>4</v>
      </c>
      <c r="F938" t="s">
        <v>6</v>
      </c>
      <c r="G938" s="2">
        <v>32108.662820000001</v>
      </c>
      <c r="H938" s="1" t="str">
        <f>IF(A938&lt;31,"18-30",IF(A938&lt;46,"31-45",IF(A938&lt;61,"46-60","60+")))</f>
        <v>31-45</v>
      </c>
      <c r="I938" t="str">
        <f>IF(C938&lt;18.5,"Underweight",IF(C938&lt;25,"Normal",IF(C938&lt;30,"Overweight","Obese")))</f>
        <v>Overweight</v>
      </c>
      <c r="J938">
        <f>IF(E938="yes",1,0)</f>
        <v>0</v>
      </c>
      <c r="K938" t="str">
        <f>IF(G938&gt;15000,"High","Low")</f>
        <v>High</v>
      </c>
    </row>
    <row r="939" spans="1:11" x14ac:dyDescent="0.35">
      <c r="A939">
        <v>39</v>
      </c>
      <c r="B939" t="s">
        <v>2</v>
      </c>
      <c r="C939">
        <v>24.225000000000001</v>
      </c>
      <c r="D939">
        <v>5</v>
      </c>
      <c r="E939" t="s">
        <v>4</v>
      </c>
      <c r="F939" t="s">
        <v>0</v>
      </c>
      <c r="G939" s="2">
        <v>8965.7957499999993</v>
      </c>
      <c r="H939" s="1" t="str">
        <f>IF(A939&lt;31,"18-30",IF(A939&lt;46,"31-45",IF(A939&lt;61,"46-60","60+")))</f>
        <v>31-45</v>
      </c>
      <c r="I939" t="str">
        <f>IF(C939&lt;18.5,"Underweight",IF(C939&lt;25,"Normal",IF(C939&lt;30,"Overweight","Obese")))</f>
        <v>Normal</v>
      </c>
      <c r="J939">
        <f>IF(E939="yes",1,0)</f>
        <v>0</v>
      </c>
      <c r="K939" t="str">
        <f>IF(G939&gt;15000,"High","Low")</f>
        <v>Low</v>
      </c>
    </row>
    <row r="940" spans="1:11" x14ac:dyDescent="0.35">
      <c r="A940">
        <v>18</v>
      </c>
      <c r="B940" t="s">
        <v>7</v>
      </c>
      <c r="C940">
        <v>26.18</v>
      </c>
      <c r="D940">
        <v>2</v>
      </c>
      <c r="E940" t="s">
        <v>4</v>
      </c>
      <c r="F940" t="s">
        <v>5</v>
      </c>
      <c r="G940" s="2">
        <v>2304.0021999999999</v>
      </c>
      <c r="H940" s="1" t="str">
        <f>IF(A940&lt;31,"18-30",IF(A940&lt;46,"31-45",IF(A940&lt;61,"46-60","60+")))</f>
        <v>18-30</v>
      </c>
      <c r="I940" t="str">
        <f>IF(C940&lt;18.5,"Underweight",IF(C940&lt;25,"Normal",IF(C940&lt;30,"Overweight","Obese")))</f>
        <v>Overweight</v>
      </c>
      <c r="J940">
        <f>IF(E940="yes",1,0)</f>
        <v>0</v>
      </c>
      <c r="K940" t="str">
        <f>IF(G940&gt;15000,"High","Low")</f>
        <v>Low</v>
      </c>
    </row>
    <row r="941" spans="1:11" x14ac:dyDescent="0.35">
      <c r="A941">
        <v>53</v>
      </c>
      <c r="B941" t="s">
        <v>7</v>
      </c>
      <c r="C941">
        <v>29.48</v>
      </c>
      <c r="D941">
        <v>0</v>
      </c>
      <c r="E941" t="s">
        <v>4</v>
      </c>
      <c r="F941" t="s">
        <v>5</v>
      </c>
      <c r="G941" s="2">
        <v>9487.6442000000006</v>
      </c>
      <c r="H941" s="1" t="str">
        <f>IF(A941&lt;31,"18-30",IF(A941&lt;46,"31-45",IF(A941&lt;61,"46-60","60+")))</f>
        <v>46-60</v>
      </c>
      <c r="I941" t="str">
        <f>IF(C941&lt;18.5,"Underweight",IF(C941&lt;25,"Normal",IF(C941&lt;30,"Overweight","Obese")))</f>
        <v>Overweight</v>
      </c>
      <c r="J941">
        <f>IF(E941="yes",1,0)</f>
        <v>0</v>
      </c>
      <c r="K941" t="str">
        <f>IF(G941&gt;15000,"High","Low")</f>
        <v>Low</v>
      </c>
    </row>
    <row r="942" spans="1:11" x14ac:dyDescent="0.35">
      <c r="A942">
        <v>18</v>
      </c>
      <c r="B942" t="s">
        <v>7</v>
      </c>
      <c r="C942">
        <v>23.21</v>
      </c>
      <c r="D942">
        <v>0</v>
      </c>
      <c r="E942" t="s">
        <v>4</v>
      </c>
      <c r="F942" t="s">
        <v>5</v>
      </c>
      <c r="G942" s="2">
        <v>1121.8739</v>
      </c>
      <c r="H942" s="1" t="str">
        <f>IF(A942&lt;31,"18-30",IF(A942&lt;46,"31-45",IF(A942&lt;61,"46-60","60+")))</f>
        <v>18-30</v>
      </c>
      <c r="I942" t="str">
        <f>IF(C942&lt;18.5,"Underweight",IF(C942&lt;25,"Normal",IF(C942&lt;30,"Overweight","Obese")))</f>
        <v>Normal</v>
      </c>
      <c r="J942">
        <f>IF(E942="yes",1,0)</f>
        <v>0</v>
      </c>
      <c r="K942" t="str">
        <f>IF(G942&gt;15000,"High","Low")</f>
        <v>Low</v>
      </c>
    </row>
    <row r="943" spans="1:11" x14ac:dyDescent="0.35">
      <c r="A943">
        <v>50</v>
      </c>
      <c r="B943" t="s">
        <v>2</v>
      </c>
      <c r="C943">
        <v>46.09</v>
      </c>
      <c r="D943">
        <v>1</v>
      </c>
      <c r="E943" t="s">
        <v>4</v>
      </c>
      <c r="F943" t="s">
        <v>5</v>
      </c>
      <c r="G943" s="2">
        <v>9549.5650999999998</v>
      </c>
      <c r="H943" s="1" t="str">
        <f>IF(A943&lt;31,"18-30",IF(A943&lt;46,"31-45",IF(A943&lt;61,"46-60","60+")))</f>
        <v>46-60</v>
      </c>
      <c r="I943" t="str">
        <f>IF(C943&lt;18.5,"Underweight",IF(C943&lt;25,"Normal",IF(C943&lt;30,"Overweight","Obese")))</f>
        <v>Obese</v>
      </c>
      <c r="J943">
        <f>IF(E943="yes",1,0)</f>
        <v>0</v>
      </c>
      <c r="K943" t="str">
        <f>IF(G943&gt;15000,"High","Low")</f>
        <v>Low</v>
      </c>
    </row>
    <row r="944" spans="1:11" x14ac:dyDescent="0.35">
      <c r="A944">
        <v>18</v>
      </c>
      <c r="B944" t="s">
        <v>2</v>
      </c>
      <c r="C944">
        <v>40.185000000000002</v>
      </c>
      <c r="D944">
        <v>0</v>
      </c>
      <c r="E944" t="s">
        <v>4</v>
      </c>
      <c r="F944" t="s">
        <v>6</v>
      </c>
      <c r="G944" s="2">
        <v>2217.4691499999999</v>
      </c>
      <c r="H944" s="1" t="str">
        <f>IF(A944&lt;31,"18-30",IF(A944&lt;46,"31-45",IF(A944&lt;61,"46-60","60+")))</f>
        <v>18-30</v>
      </c>
      <c r="I944" t="str">
        <f>IF(C944&lt;18.5,"Underweight",IF(C944&lt;25,"Normal",IF(C944&lt;30,"Overweight","Obese")))</f>
        <v>Obese</v>
      </c>
      <c r="J944">
        <f>IF(E944="yes",1,0)</f>
        <v>0</v>
      </c>
      <c r="K944" t="str">
        <f>IF(G944&gt;15000,"High","Low")</f>
        <v>Low</v>
      </c>
    </row>
    <row r="945" spans="1:11" x14ac:dyDescent="0.35">
      <c r="A945">
        <v>19</v>
      </c>
      <c r="B945" t="s">
        <v>7</v>
      </c>
      <c r="C945">
        <v>22.61</v>
      </c>
      <c r="D945">
        <v>0</v>
      </c>
      <c r="E945" t="s">
        <v>4</v>
      </c>
      <c r="F945" t="s">
        <v>0</v>
      </c>
      <c r="G945" s="2">
        <v>1628.4709</v>
      </c>
      <c r="H945" s="1" t="str">
        <f>IF(A945&lt;31,"18-30",IF(A945&lt;46,"31-45",IF(A945&lt;61,"46-60","60+")))</f>
        <v>18-30</v>
      </c>
      <c r="I945" t="str">
        <f>IF(C945&lt;18.5,"Underweight",IF(C945&lt;25,"Normal",IF(C945&lt;30,"Overweight","Obese")))</f>
        <v>Normal</v>
      </c>
      <c r="J945">
        <f>IF(E945="yes",1,0)</f>
        <v>0</v>
      </c>
      <c r="K945" t="str">
        <f>IF(G945&gt;15000,"High","Low")</f>
        <v>Low</v>
      </c>
    </row>
    <row r="946" spans="1:11" x14ac:dyDescent="0.35">
      <c r="A946">
        <v>62</v>
      </c>
      <c r="B946" t="s">
        <v>7</v>
      </c>
      <c r="C946">
        <v>39.93</v>
      </c>
      <c r="D946">
        <v>0</v>
      </c>
      <c r="E946" t="s">
        <v>4</v>
      </c>
      <c r="F946" t="s">
        <v>5</v>
      </c>
      <c r="G946" s="2">
        <v>12982.8747</v>
      </c>
      <c r="H946" s="1" t="str">
        <f>IF(A946&lt;31,"18-30",IF(A946&lt;46,"31-45",IF(A946&lt;61,"46-60","60+")))</f>
        <v>60+</v>
      </c>
      <c r="I946" t="str">
        <f>IF(C946&lt;18.5,"Underweight",IF(C946&lt;25,"Normal",IF(C946&lt;30,"Overweight","Obese")))</f>
        <v>Obese</v>
      </c>
      <c r="J946">
        <f>IF(E946="yes",1,0)</f>
        <v>0</v>
      </c>
      <c r="K946" t="str">
        <f>IF(G946&gt;15000,"High","Low")</f>
        <v>Low</v>
      </c>
    </row>
    <row r="947" spans="1:11" x14ac:dyDescent="0.35">
      <c r="A947">
        <v>56</v>
      </c>
      <c r="B947" t="s">
        <v>2</v>
      </c>
      <c r="C947">
        <v>35.799999999999997</v>
      </c>
      <c r="D947">
        <v>1</v>
      </c>
      <c r="E947" t="s">
        <v>4</v>
      </c>
      <c r="F947" t="s">
        <v>3</v>
      </c>
      <c r="G947" s="2">
        <v>11674.13</v>
      </c>
      <c r="H947" s="1" t="str">
        <f>IF(A947&lt;31,"18-30",IF(A947&lt;46,"31-45",IF(A947&lt;61,"46-60","60+")))</f>
        <v>46-60</v>
      </c>
      <c r="I947" t="str">
        <f>IF(C947&lt;18.5,"Underweight",IF(C947&lt;25,"Normal",IF(C947&lt;30,"Overweight","Obese")))</f>
        <v>Obese</v>
      </c>
      <c r="J947">
        <f>IF(E947="yes",1,0)</f>
        <v>0</v>
      </c>
      <c r="K947" t="str">
        <f>IF(G947&gt;15000,"High","Low")</f>
        <v>Low</v>
      </c>
    </row>
    <row r="948" spans="1:11" x14ac:dyDescent="0.35">
      <c r="A948">
        <v>42</v>
      </c>
      <c r="B948" t="s">
        <v>7</v>
      </c>
      <c r="C948">
        <v>35.799999999999997</v>
      </c>
      <c r="D948">
        <v>2</v>
      </c>
      <c r="E948" t="s">
        <v>4</v>
      </c>
      <c r="F948" t="s">
        <v>3</v>
      </c>
      <c r="G948" s="2">
        <v>7160.0940000000001</v>
      </c>
      <c r="H948" s="1" t="str">
        <f>IF(A948&lt;31,"18-30",IF(A948&lt;46,"31-45",IF(A948&lt;61,"46-60","60+")))</f>
        <v>31-45</v>
      </c>
      <c r="I948" t="str">
        <f>IF(C948&lt;18.5,"Underweight",IF(C948&lt;25,"Normal",IF(C948&lt;30,"Overweight","Obese")))</f>
        <v>Obese</v>
      </c>
      <c r="J948">
        <f>IF(E948="yes",1,0)</f>
        <v>0</v>
      </c>
      <c r="K948" t="str">
        <f>IF(G948&gt;15000,"High","Low")</f>
        <v>Low</v>
      </c>
    </row>
    <row r="949" spans="1:11" x14ac:dyDescent="0.35">
      <c r="A949">
        <v>37</v>
      </c>
      <c r="B949" t="s">
        <v>7</v>
      </c>
      <c r="C949">
        <v>34.200000000000003</v>
      </c>
      <c r="D949">
        <v>1</v>
      </c>
      <c r="E949" t="s">
        <v>1</v>
      </c>
      <c r="F949" t="s">
        <v>6</v>
      </c>
      <c r="G949" s="2">
        <v>39047.285000000003</v>
      </c>
      <c r="H949" s="1" t="str">
        <f>IF(A949&lt;31,"18-30",IF(A949&lt;46,"31-45",IF(A949&lt;61,"46-60","60+")))</f>
        <v>31-45</v>
      </c>
      <c r="I949" t="str">
        <f>IF(C949&lt;18.5,"Underweight",IF(C949&lt;25,"Normal",IF(C949&lt;30,"Overweight","Obese")))</f>
        <v>Obese</v>
      </c>
      <c r="J949">
        <f>IF(E949="yes",1,0)</f>
        <v>1</v>
      </c>
      <c r="K949" t="str">
        <f>IF(G949&gt;15000,"High","Low")</f>
        <v>High</v>
      </c>
    </row>
    <row r="950" spans="1:11" x14ac:dyDescent="0.35">
      <c r="A950">
        <v>42</v>
      </c>
      <c r="B950" t="s">
        <v>7</v>
      </c>
      <c r="C950">
        <v>31.254999999999999</v>
      </c>
      <c r="D950">
        <v>0</v>
      </c>
      <c r="E950" t="s">
        <v>4</v>
      </c>
      <c r="F950" t="s">
        <v>0</v>
      </c>
      <c r="G950" s="2">
        <v>6358.7764500000003</v>
      </c>
      <c r="H950" s="1" t="str">
        <f>IF(A950&lt;31,"18-30",IF(A950&lt;46,"31-45",IF(A950&lt;61,"46-60","60+")))</f>
        <v>31-45</v>
      </c>
      <c r="I950" t="str">
        <f>IF(C950&lt;18.5,"Underweight",IF(C950&lt;25,"Normal",IF(C950&lt;30,"Overweight","Obese")))</f>
        <v>Obese</v>
      </c>
      <c r="J950">
        <f>IF(E950="yes",1,0)</f>
        <v>0</v>
      </c>
      <c r="K950" t="str">
        <f>IF(G950&gt;15000,"High","Low")</f>
        <v>Low</v>
      </c>
    </row>
    <row r="951" spans="1:11" x14ac:dyDescent="0.35">
      <c r="A951">
        <v>25</v>
      </c>
      <c r="B951" t="s">
        <v>7</v>
      </c>
      <c r="C951">
        <v>29.7</v>
      </c>
      <c r="D951">
        <v>3</v>
      </c>
      <c r="E951" t="s">
        <v>1</v>
      </c>
      <c r="F951" t="s">
        <v>3</v>
      </c>
      <c r="G951" s="2">
        <v>19933.457999999999</v>
      </c>
      <c r="H951" s="1" t="str">
        <f>IF(A951&lt;31,"18-30",IF(A951&lt;46,"31-45",IF(A951&lt;61,"46-60","60+")))</f>
        <v>18-30</v>
      </c>
      <c r="I951" t="str">
        <f>IF(C951&lt;18.5,"Underweight",IF(C951&lt;25,"Normal",IF(C951&lt;30,"Overweight","Obese")))</f>
        <v>Overweight</v>
      </c>
      <c r="J951">
        <f>IF(E951="yes",1,0)</f>
        <v>1</v>
      </c>
      <c r="K951" t="str">
        <f>IF(G951&gt;15000,"High","Low")</f>
        <v>High</v>
      </c>
    </row>
    <row r="952" spans="1:11" x14ac:dyDescent="0.35">
      <c r="A952">
        <v>57</v>
      </c>
      <c r="B952" t="s">
        <v>7</v>
      </c>
      <c r="C952">
        <v>18.335000000000001</v>
      </c>
      <c r="D952">
        <v>0</v>
      </c>
      <c r="E952" t="s">
        <v>4</v>
      </c>
      <c r="F952" t="s">
        <v>6</v>
      </c>
      <c r="G952" s="2">
        <v>11534.872649999999</v>
      </c>
      <c r="H952" s="1" t="str">
        <f>IF(A952&lt;31,"18-30",IF(A952&lt;46,"31-45",IF(A952&lt;61,"46-60","60+")))</f>
        <v>46-60</v>
      </c>
      <c r="I952" t="str">
        <f>IF(C952&lt;18.5,"Underweight",IF(C952&lt;25,"Normal",IF(C952&lt;30,"Overweight","Obese")))</f>
        <v>Underweight</v>
      </c>
      <c r="J952">
        <f>IF(E952="yes",1,0)</f>
        <v>0</v>
      </c>
      <c r="K952" t="str">
        <f>IF(G952&gt;15000,"High","Low")</f>
        <v>Low</v>
      </c>
    </row>
    <row r="953" spans="1:11" x14ac:dyDescent="0.35">
      <c r="A953">
        <v>51</v>
      </c>
      <c r="B953" t="s">
        <v>7</v>
      </c>
      <c r="C953">
        <v>42.9</v>
      </c>
      <c r="D953">
        <v>2</v>
      </c>
      <c r="E953" t="s">
        <v>1</v>
      </c>
      <c r="F953" t="s">
        <v>5</v>
      </c>
      <c r="G953" s="2">
        <v>47462.894</v>
      </c>
      <c r="H953" s="1" t="str">
        <f>IF(A953&lt;31,"18-30",IF(A953&lt;46,"31-45",IF(A953&lt;61,"46-60","60+")))</f>
        <v>46-60</v>
      </c>
      <c r="I953" t="str">
        <f>IF(C953&lt;18.5,"Underweight",IF(C953&lt;25,"Normal",IF(C953&lt;30,"Overweight","Obese")))</f>
        <v>Obese</v>
      </c>
      <c r="J953">
        <f>IF(E953="yes",1,0)</f>
        <v>1</v>
      </c>
      <c r="K953" t="str">
        <f>IF(G953&gt;15000,"High","Low")</f>
        <v>High</v>
      </c>
    </row>
    <row r="954" spans="1:11" x14ac:dyDescent="0.35">
      <c r="A954">
        <v>30</v>
      </c>
      <c r="B954" t="s">
        <v>2</v>
      </c>
      <c r="C954">
        <v>28.405000000000001</v>
      </c>
      <c r="D954">
        <v>1</v>
      </c>
      <c r="E954" t="s">
        <v>4</v>
      </c>
      <c r="F954" t="s">
        <v>0</v>
      </c>
      <c r="G954" s="2">
        <v>4527.1829500000003</v>
      </c>
      <c r="H954" s="1" t="str">
        <f>IF(A954&lt;31,"18-30",IF(A954&lt;46,"31-45",IF(A954&lt;61,"46-60","60+")))</f>
        <v>18-30</v>
      </c>
      <c r="I954" t="str">
        <f>IF(C954&lt;18.5,"Underweight",IF(C954&lt;25,"Normal",IF(C954&lt;30,"Overweight","Obese")))</f>
        <v>Overweight</v>
      </c>
      <c r="J954">
        <f>IF(E954="yes",1,0)</f>
        <v>0</v>
      </c>
      <c r="K954" t="str">
        <f>IF(G954&gt;15000,"High","Low")</f>
        <v>Low</v>
      </c>
    </row>
    <row r="955" spans="1:11" x14ac:dyDescent="0.35">
      <c r="A955">
        <v>44</v>
      </c>
      <c r="B955" t="s">
        <v>7</v>
      </c>
      <c r="C955">
        <v>30.2</v>
      </c>
      <c r="D955">
        <v>2</v>
      </c>
      <c r="E955" t="s">
        <v>1</v>
      </c>
      <c r="F955" t="s">
        <v>3</v>
      </c>
      <c r="G955" s="2">
        <v>38998.546000000002</v>
      </c>
      <c r="H955" s="1" t="str">
        <f>IF(A955&lt;31,"18-30",IF(A955&lt;46,"31-45",IF(A955&lt;61,"46-60","60+")))</f>
        <v>31-45</v>
      </c>
      <c r="I955" t="str">
        <f>IF(C955&lt;18.5,"Underweight",IF(C955&lt;25,"Normal",IF(C955&lt;30,"Overweight","Obese")))</f>
        <v>Obese</v>
      </c>
      <c r="J955">
        <f>IF(E955="yes",1,0)</f>
        <v>1</v>
      </c>
      <c r="K955" t="str">
        <f>IF(G955&gt;15000,"High","Low")</f>
        <v>High</v>
      </c>
    </row>
    <row r="956" spans="1:11" x14ac:dyDescent="0.35">
      <c r="A956">
        <v>34</v>
      </c>
      <c r="B956" t="s">
        <v>7</v>
      </c>
      <c r="C956">
        <v>27.835000000000001</v>
      </c>
      <c r="D956">
        <v>1</v>
      </c>
      <c r="E956" t="s">
        <v>1</v>
      </c>
      <c r="F956" t="s">
        <v>0</v>
      </c>
      <c r="G956" s="2">
        <v>20009.63365</v>
      </c>
      <c r="H956" s="1" t="str">
        <f>IF(A956&lt;31,"18-30",IF(A956&lt;46,"31-45",IF(A956&lt;61,"46-60","60+")))</f>
        <v>31-45</v>
      </c>
      <c r="I956" t="str">
        <f>IF(C956&lt;18.5,"Underweight",IF(C956&lt;25,"Normal",IF(C956&lt;30,"Overweight","Obese")))</f>
        <v>Overweight</v>
      </c>
      <c r="J956">
        <f>IF(E956="yes",1,0)</f>
        <v>1</v>
      </c>
      <c r="K956" t="str">
        <f>IF(G956&gt;15000,"High","Low")</f>
        <v>High</v>
      </c>
    </row>
    <row r="957" spans="1:11" x14ac:dyDescent="0.35">
      <c r="A957">
        <v>31</v>
      </c>
      <c r="B957" t="s">
        <v>7</v>
      </c>
      <c r="C957">
        <v>39.49</v>
      </c>
      <c r="D957">
        <v>1</v>
      </c>
      <c r="E957" t="s">
        <v>4</v>
      </c>
      <c r="F957" t="s">
        <v>5</v>
      </c>
      <c r="G957" s="2">
        <v>3875.7341000000001</v>
      </c>
      <c r="H957" s="1" t="str">
        <f>IF(A957&lt;31,"18-30",IF(A957&lt;46,"31-45",IF(A957&lt;61,"46-60","60+")))</f>
        <v>31-45</v>
      </c>
      <c r="I957" t="str">
        <f>IF(C957&lt;18.5,"Underweight",IF(C957&lt;25,"Normal",IF(C957&lt;30,"Overweight","Obese")))</f>
        <v>Obese</v>
      </c>
      <c r="J957">
        <f>IF(E957="yes",1,0)</f>
        <v>0</v>
      </c>
      <c r="K957" t="str">
        <f>IF(G957&gt;15000,"High","Low")</f>
        <v>Low</v>
      </c>
    </row>
    <row r="958" spans="1:11" x14ac:dyDescent="0.35">
      <c r="A958">
        <v>54</v>
      </c>
      <c r="B958" t="s">
        <v>7</v>
      </c>
      <c r="C958">
        <v>30.8</v>
      </c>
      <c r="D958">
        <v>1</v>
      </c>
      <c r="E958" t="s">
        <v>1</v>
      </c>
      <c r="F958" t="s">
        <v>5</v>
      </c>
      <c r="G958" s="2">
        <v>41999.519999999997</v>
      </c>
      <c r="H958" s="1" t="str">
        <f>IF(A958&lt;31,"18-30",IF(A958&lt;46,"31-45",IF(A958&lt;61,"46-60","60+")))</f>
        <v>46-60</v>
      </c>
      <c r="I958" t="str">
        <f>IF(C958&lt;18.5,"Underweight",IF(C958&lt;25,"Normal",IF(C958&lt;30,"Overweight","Obese")))</f>
        <v>Obese</v>
      </c>
      <c r="J958">
        <f>IF(E958="yes",1,0)</f>
        <v>1</v>
      </c>
      <c r="K958" t="str">
        <f>IF(G958&gt;15000,"High","Low")</f>
        <v>High</v>
      </c>
    </row>
    <row r="959" spans="1:11" x14ac:dyDescent="0.35">
      <c r="A959">
        <v>24</v>
      </c>
      <c r="B959" t="s">
        <v>7</v>
      </c>
      <c r="C959">
        <v>26.79</v>
      </c>
      <c r="D959">
        <v>1</v>
      </c>
      <c r="E959" t="s">
        <v>4</v>
      </c>
      <c r="F959" t="s">
        <v>0</v>
      </c>
      <c r="G959" s="2">
        <v>12609.88702</v>
      </c>
      <c r="H959" s="1" t="str">
        <f>IF(A959&lt;31,"18-30",IF(A959&lt;46,"31-45",IF(A959&lt;61,"46-60","60+")))</f>
        <v>18-30</v>
      </c>
      <c r="I959" t="str">
        <f>IF(C959&lt;18.5,"Underweight",IF(C959&lt;25,"Normal",IF(C959&lt;30,"Overweight","Obese")))</f>
        <v>Overweight</v>
      </c>
      <c r="J959">
        <f>IF(E959="yes",1,0)</f>
        <v>0</v>
      </c>
      <c r="K959" t="str">
        <f>IF(G959&gt;15000,"High","Low")</f>
        <v>Low</v>
      </c>
    </row>
    <row r="960" spans="1:11" x14ac:dyDescent="0.35">
      <c r="A960">
        <v>43</v>
      </c>
      <c r="B960" t="s">
        <v>7</v>
      </c>
      <c r="C960">
        <v>34.96</v>
      </c>
      <c r="D960">
        <v>1</v>
      </c>
      <c r="E960" t="s">
        <v>1</v>
      </c>
      <c r="F960" t="s">
        <v>6</v>
      </c>
      <c r="G960" s="2">
        <v>41034.221400000002</v>
      </c>
      <c r="H960" s="1" t="str">
        <f>IF(A960&lt;31,"18-30",IF(A960&lt;46,"31-45",IF(A960&lt;61,"46-60","60+")))</f>
        <v>31-45</v>
      </c>
      <c r="I960" t="str">
        <f>IF(C960&lt;18.5,"Underweight",IF(C960&lt;25,"Normal",IF(C960&lt;30,"Overweight","Obese")))</f>
        <v>Obese</v>
      </c>
      <c r="J960">
        <f>IF(E960="yes",1,0)</f>
        <v>1</v>
      </c>
      <c r="K960" t="str">
        <f>IF(G960&gt;15000,"High","Low")</f>
        <v>High</v>
      </c>
    </row>
    <row r="961" spans="1:11" x14ac:dyDescent="0.35">
      <c r="A961">
        <v>48</v>
      </c>
      <c r="B961" t="s">
        <v>7</v>
      </c>
      <c r="C961">
        <v>36.67</v>
      </c>
      <c r="D961">
        <v>1</v>
      </c>
      <c r="E961" t="s">
        <v>4</v>
      </c>
      <c r="F961" t="s">
        <v>0</v>
      </c>
      <c r="G961" s="2">
        <v>28468.919010000001</v>
      </c>
      <c r="H961" s="1" t="str">
        <f>IF(A961&lt;31,"18-30",IF(A961&lt;46,"31-45",IF(A961&lt;61,"46-60","60+")))</f>
        <v>46-60</v>
      </c>
      <c r="I961" t="str">
        <f>IF(C961&lt;18.5,"Underweight",IF(C961&lt;25,"Normal",IF(C961&lt;30,"Overweight","Obese")))</f>
        <v>Obese</v>
      </c>
      <c r="J961">
        <f>IF(E961="yes",1,0)</f>
        <v>0</v>
      </c>
      <c r="K961" t="str">
        <f>IF(G961&gt;15000,"High","Low")</f>
        <v>High</v>
      </c>
    </row>
    <row r="962" spans="1:11" x14ac:dyDescent="0.35">
      <c r="A962">
        <v>19</v>
      </c>
      <c r="B962" t="s">
        <v>2</v>
      </c>
      <c r="C962">
        <v>39.615000000000002</v>
      </c>
      <c r="D962">
        <v>1</v>
      </c>
      <c r="E962" t="s">
        <v>4</v>
      </c>
      <c r="F962" t="s">
        <v>0</v>
      </c>
      <c r="G962" s="2">
        <v>2730.1078499999999</v>
      </c>
      <c r="H962" s="1" t="str">
        <f>IF(A962&lt;31,"18-30",IF(A962&lt;46,"31-45",IF(A962&lt;61,"46-60","60+")))</f>
        <v>18-30</v>
      </c>
      <c r="I962" t="str">
        <f>IF(C962&lt;18.5,"Underweight",IF(C962&lt;25,"Normal",IF(C962&lt;30,"Overweight","Obese")))</f>
        <v>Obese</v>
      </c>
      <c r="J962">
        <f>IF(E962="yes",1,0)</f>
        <v>0</v>
      </c>
      <c r="K962" t="str">
        <f>IF(G962&gt;15000,"High","Low")</f>
        <v>Low</v>
      </c>
    </row>
    <row r="963" spans="1:11" x14ac:dyDescent="0.35">
      <c r="A963">
        <v>29</v>
      </c>
      <c r="B963" t="s">
        <v>2</v>
      </c>
      <c r="C963">
        <v>25.9</v>
      </c>
      <c r="D963">
        <v>0</v>
      </c>
      <c r="E963" t="s">
        <v>4</v>
      </c>
      <c r="F963" t="s">
        <v>3</v>
      </c>
      <c r="G963" s="2">
        <v>3353.2840000000001</v>
      </c>
      <c r="H963" s="1" t="str">
        <f>IF(A963&lt;31,"18-30",IF(A963&lt;46,"31-45",IF(A963&lt;61,"46-60","60+")))</f>
        <v>18-30</v>
      </c>
      <c r="I963" t="str">
        <f>IF(C963&lt;18.5,"Underweight",IF(C963&lt;25,"Normal",IF(C963&lt;30,"Overweight","Obese")))</f>
        <v>Overweight</v>
      </c>
      <c r="J963">
        <f>IF(E963="yes",1,0)</f>
        <v>0</v>
      </c>
      <c r="K963" t="str">
        <f>IF(G963&gt;15000,"High","Low")</f>
        <v>Low</v>
      </c>
    </row>
    <row r="964" spans="1:11" x14ac:dyDescent="0.35">
      <c r="A964">
        <v>63</v>
      </c>
      <c r="B964" t="s">
        <v>2</v>
      </c>
      <c r="C964">
        <v>35.200000000000003</v>
      </c>
      <c r="D964">
        <v>1</v>
      </c>
      <c r="E964" t="s">
        <v>4</v>
      </c>
      <c r="F964" t="s">
        <v>5</v>
      </c>
      <c r="G964" s="2">
        <v>14474.674999999999</v>
      </c>
      <c r="H964" s="1" t="str">
        <f>IF(A964&lt;31,"18-30",IF(A964&lt;46,"31-45",IF(A964&lt;61,"46-60","60+")))</f>
        <v>60+</v>
      </c>
      <c r="I964" t="str">
        <f>IF(C964&lt;18.5,"Underweight",IF(C964&lt;25,"Normal",IF(C964&lt;30,"Overweight","Obese")))</f>
        <v>Obese</v>
      </c>
      <c r="J964">
        <f>IF(E964="yes",1,0)</f>
        <v>0</v>
      </c>
      <c r="K964" t="str">
        <f>IF(G964&gt;15000,"High","Low")</f>
        <v>Low</v>
      </c>
    </row>
    <row r="965" spans="1:11" x14ac:dyDescent="0.35">
      <c r="A965">
        <v>46</v>
      </c>
      <c r="B965" t="s">
        <v>7</v>
      </c>
      <c r="C965">
        <v>24.795000000000002</v>
      </c>
      <c r="D965">
        <v>3</v>
      </c>
      <c r="E965" t="s">
        <v>4</v>
      </c>
      <c r="F965" t="s">
        <v>6</v>
      </c>
      <c r="G965" s="2">
        <v>9500.5730500000009</v>
      </c>
      <c r="H965" s="1" t="str">
        <f>IF(A965&lt;31,"18-30",IF(A965&lt;46,"31-45",IF(A965&lt;61,"46-60","60+")))</f>
        <v>46-60</v>
      </c>
      <c r="I965" t="str">
        <f>IF(C965&lt;18.5,"Underweight",IF(C965&lt;25,"Normal",IF(C965&lt;30,"Overweight","Obese")))</f>
        <v>Normal</v>
      </c>
      <c r="J965">
        <f>IF(E965="yes",1,0)</f>
        <v>0</v>
      </c>
      <c r="K965" t="str">
        <f>IF(G965&gt;15000,"High","Low")</f>
        <v>Low</v>
      </c>
    </row>
    <row r="966" spans="1:11" x14ac:dyDescent="0.35">
      <c r="A966">
        <v>52</v>
      </c>
      <c r="B966" t="s">
        <v>7</v>
      </c>
      <c r="C966">
        <v>36.765000000000001</v>
      </c>
      <c r="D966">
        <v>2</v>
      </c>
      <c r="E966" t="s">
        <v>4</v>
      </c>
      <c r="F966" t="s">
        <v>0</v>
      </c>
      <c r="G966" s="2">
        <v>26467.09737</v>
      </c>
      <c r="H966" s="1" t="str">
        <f>IF(A966&lt;31,"18-30",IF(A966&lt;46,"31-45",IF(A966&lt;61,"46-60","60+")))</f>
        <v>46-60</v>
      </c>
      <c r="I966" t="str">
        <f>IF(C966&lt;18.5,"Underweight",IF(C966&lt;25,"Normal",IF(C966&lt;30,"Overweight","Obese")))</f>
        <v>Obese</v>
      </c>
      <c r="J966">
        <f>IF(E966="yes",1,0)</f>
        <v>0</v>
      </c>
      <c r="K966" t="str">
        <f>IF(G966&gt;15000,"High","Low")</f>
        <v>High</v>
      </c>
    </row>
    <row r="967" spans="1:11" x14ac:dyDescent="0.35">
      <c r="A967">
        <v>35</v>
      </c>
      <c r="B967" t="s">
        <v>7</v>
      </c>
      <c r="C967">
        <v>27.1</v>
      </c>
      <c r="D967">
        <v>1</v>
      </c>
      <c r="E967" t="s">
        <v>4</v>
      </c>
      <c r="F967" t="s">
        <v>3</v>
      </c>
      <c r="G967" s="2">
        <v>4746.3440000000001</v>
      </c>
      <c r="H967" s="1" t="str">
        <f>IF(A967&lt;31,"18-30",IF(A967&lt;46,"31-45",IF(A967&lt;61,"46-60","60+")))</f>
        <v>31-45</v>
      </c>
      <c r="I967" t="str">
        <f>IF(C967&lt;18.5,"Underweight",IF(C967&lt;25,"Normal",IF(C967&lt;30,"Overweight","Obese")))</f>
        <v>Overweight</v>
      </c>
      <c r="J967">
        <f>IF(E967="yes",1,0)</f>
        <v>0</v>
      </c>
      <c r="K967" t="str">
        <f>IF(G967&gt;15000,"High","Low")</f>
        <v>Low</v>
      </c>
    </row>
    <row r="968" spans="1:11" x14ac:dyDescent="0.35">
      <c r="A968">
        <v>51</v>
      </c>
      <c r="B968" t="s">
        <v>7</v>
      </c>
      <c r="C968">
        <v>24.795000000000002</v>
      </c>
      <c r="D968">
        <v>2</v>
      </c>
      <c r="E968" t="s">
        <v>1</v>
      </c>
      <c r="F968" t="s">
        <v>0</v>
      </c>
      <c r="G968" s="2">
        <v>23967.38305</v>
      </c>
      <c r="H968" s="1" t="str">
        <f>IF(A968&lt;31,"18-30",IF(A968&lt;46,"31-45",IF(A968&lt;61,"46-60","60+")))</f>
        <v>46-60</v>
      </c>
      <c r="I968" t="str">
        <f>IF(C968&lt;18.5,"Underweight",IF(C968&lt;25,"Normal",IF(C968&lt;30,"Overweight","Obese")))</f>
        <v>Normal</v>
      </c>
      <c r="J968">
        <f>IF(E968="yes",1,0)</f>
        <v>1</v>
      </c>
      <c r="K968" t="str">
        <f>IF(G968&gt;15000,"High","Low")</f>
        <v>High</v>
      </c>
    </row>
    <row r="969" spans="1:11" x14ac:dyDescent="0.35">
      <c r="A969">
        <v>44</v>
      </c>
      <c r="B969" t="s">
        <v>7</v>
      </c>
      <c r="C969">
        <v>25.364999999999998</v>
      </c>
      <c r="D969">
        <v>1</v>
      </c>
      <c r="E969" t="s">
        <v>4</v>
      </c>
      <c r="F969" t="s">
        <v>0</v>
      </c>
      <c r="G969" s="2">
        <v>7518.0253499999999</v>
      </c>
      <c r="H969" s="1" t="str">
        <f>IF(A969&lt;31,"18-30",IF(A969&lt;46,"31-45",IF(A969&lt;61,"46-60","60+")))</f>
        <v>31-45</v>
      </c>
      <c r="I969" t="str">
        <f>IF(C969&lt;18.5,"Underweight",IF(C969&lt;25,"Normal",IF(C969&lt;30,"Overweight","Obese")))</f>
        <v>Overweight</v>
      </c>
      <c r="J969">
        <f>IF(E969="yes",1,0)</f>
        <v>0</v>
      </c>
      <c r="K969" t="str">
        <f>IF(G969&gt;15000,"High","Low")</f>
        <v>Low</v>
      </c>
    </row>
    <row r="970" spans="1:11" x14ac:dyDescent="0.35">
      <c r="A970">
        <v>21</v>
      </c>
      <c r="B970" t="s">
        <v>7</v>
      </c>
      <c r="C970">
        <v>25.745000000000001</v>
      </c>
      <c r="D970">
        <v>2</v>
      </c>
      <c r="E970" t="s">
        <v>4</v>
      </c>
      <c r="F970" t="s">
        <v>6</v>
      </c>
      <c r="G970" s="2">
        <v>3279.8685500000001</v>
      </c>
      <c r="H970" s="1" t="str">
        <f>IF(A970&lt;31,"18-30",IF(A970&lt;46,"31-45",IF(A970&lt;61,"46-60","60+")))</f>
        <v>18-30</v>
      </c>
      <c r="I970" t="str">
        <f>IF(C970&lt;18.5,"Underweight",IF(C970&lt;25,"Normal",IF(C970&lt;30,"Overweight","Obese")))</f>
        <v>Overweight</v>
      </c>
      <c r="J970">
        <f>IF(E970="yes",1,0)</f>
        <v>0</v>
      </c>
      <c r="K970" t="str">
        <f>IF(G970&gt;15000,"High","Low")</f>
        <v>Low</v>
      </c>
    </row>
    <row r="971" spans="1:11" x14ac:dyDescent="0.35">
      <c r="A971">
        <v>39</v>
      </c>
      <c r="B971" t="s">
        <v>2</v>
      </c>
      <c r="C971">
        <v>34.32</v>
      </c>
      <c r="D971">
        <v>5</v>
      </c>
      <c r="E971" t="s">
        <v>4</v>
      </c>
      <c r="F971" t="s">
        <v>5</v>
      </c>
      <c r="G971" s="2">
        <v>8596.8277999999991</v>
      </c>
      <c r="H971" s="1" t="str">
        <f>IF(A971&lt;31,"18-30",IF(A971&lt;46,"31-45",IF(A971&lt;61,"46-60","60+")))</f>
        <v>31-45</v>
      </c>
      <c r="I971" t="str">
        <f>IF(C971&lt;18.5,"Underweight",IF(C971&lt;25,"Normal",IF(C971&lt;30,"Overweight","Obese")))</f>
        <v>Obese</v>
      </c>
      <c r="J971">
        <f>IF(E971="yes",1,0)</f>
        <v>0</v>
      </c>
      <c r="K971" t="str">
        <f>IF(G971&gt;15000,"High","Low")</f>
        <v>Low</v>
      </c>
    </row>
    <row r="972" spans="1:11" x14ac:dyDescent="0.35">
      <c r="A972">
        <v>50</v>
      </c>
      <c r="B972" t="s">
        <v>2</v>
      </c>
      <c r="C972">
        <v>28.16</v>
      </c>
      <c r="D972">
        <v>3</v>
      </c>
      <c r="E972" t="s">
        <v>4</v>
      </c>
      <c r="F972" t="s">
        <v>5</v>
      </c>
      <c r="G972" s="2">
        <v>10702.642400000001</v>
      </c>
      <c r="H972" s="1" t="str">
        <f>IF(A972&lt;31,"18-30",IF(A972&lt;46,"31-45",IF(A972&lt;61,"46-60","60+")))</f>
        <v>46-60</v>
      </c>
      <c r="I972" t="str">
        <f>IF(C972&lt;18.5,"Underweight",IF(C972&lt;25,"Normal",IF(C972&lt;30,"Overweight","Obese")))</f>
        <v>Overweight</v>
      </c>
      <c r="J972">
        <f>IF(E972="yes",1,0)</f>
        <v>0</v>
      </c>
      <c r="K972" t="str">
        <f>IF(G972&gt;15000,"High","Low")</f>
        <v>Low</v>
      </c>
    </row>
    <row r="973" spans="1:11" x14ac:dyDescent="0.35">
      <c r="A973">
        <v>34</v>
      </c>
      <c r="B973" t="s">
        <v>2</v>
      </c>
      <c r="C973">
        <v>23.56</v>
      </c>
      <c r="D973">
        <v>0</v>
      </c>
      <c r="E973" t="s">
        <v>4</v>
      </c>
      <c r="F973" t="s">
        <v>6</v>
      </c>
      <c r="G973" s="2">
        <v>4992.3764000000001</v>
      </c>
      <c r="H973" s="1" t="str">
        <f>IF(A973&lt;31,"18-30",IF(A973&lt;46,"31-45",IF(A973&lt;61,"46-60","60+")))</f>
        <v>31-45</v>
      </c>
      <c r="I973" t="str">
        <f>IF(C973&lt;18.5,"Underweight",IF(C973&lt;25,"Normal",IF(C973&lt;30,"Overweight","Obese")))</f>
        <v>Normal</v>
      </c>
      <c r="J973">
        <f>IF(E973="yes",1,0)</f>
        <v>0</v>
      </c>
      <c r="K973" t="str">
        <f>IF(G973&gt;15000,"High","Low")</f>
        <v>Low</v>
      </c>
    </row>
    <row r="974" spans="1:11" x14ac:dyDescent="0.35">
      <c r="A974">
        <v>22</v>
      </c>
      <c r="B974" t="s">
        <v>2</v>
      </c>
      <c r="C974">
        <v>20.234999999999999</v>
      </c>
      <c r="D974">
        <v>0</v>
      </c>
      <c r="E974" t="s">
        <v>4</v>
      </c>
      <c r="F974" t="s">
        <v>0</v>
      </c>
      <c r="G974" s="2">
        <v>2527.8186500000002</v>
      </c>
      <c r="H974" s="1" t="str">
        <f>IF(A974&lt;31,"18-30",IF(A974&lt;46,"31-45",IF(A974&lt;61,"46-60","60+")))</f>
        <v>18-30</v>
      </c>
      <c r="I974" t="str">
        <f>IF(C974&lt;18.5,"Underweight",IF(C974&lt;25,"Normal",IF(C974&lt;30,"Overweight","Obese")))</f>
        <v>Normal</v>
      </c>
      <c r="J974">
        <f>IF(E974="yes",1,0)</f>
        <v>0</v>
      </c>
      <c r="K974" t="str">
        <f>IF(G974&gt;15000,"High","Low")</f>
        <v>Low</v>
      </c>
    </row>
    <row r="975" spans="1:11" x14ac:dyDescent="0.35">
      <c r="A975">
        <v>19</v>
      </c>
      <c r="B975" t="s">
        <v>2</v>
      </c>
      <c r="C975">
        <v>40.5</v>
      </c>
      <c r="D975">
        <v>0</v>
      </c>
      <c r="E975" t="s">
        <v>4</v>
      </c>
      <c r="F975" t="s">
        <v>3</v>
      </c>
      <c r="G975" s="2">
        <v>1759.338</v>
      </c>
      <c r="H975" s="1" t="str">
        <f>IF(A975&lt;31,"18-30",IF(A975&lt;46,"31-45",IF(A975&lt;61,"46-60","60+")))</f>
        <v>18-30</v>
      </c>
      <c r="I975" t="str">
        <f>IF(C975&lt;18.5,"Underweight",IF(C975&lt;25,"Normal",IF(C975&lt;30,"Overweight","Obese")))</f>
        <v>Obese</v>
      </c>
      <c r="J975">
        <f>IF(E975="yes",1,0)</f>
        <v>0</v>
      </c>
      <c r="K975" t="str">
        <f>IF(G975&gt;15000,"High","Low")</f>
        <v>Low</v>
      </c>
    </row>
    <row r="976" spans="1:11" x14ac:dyDescent="0.35">
      <c r="A976">
        <v>26</v>
      </c>
      <c r="B976" t="s">
        <v>7</v>
      </c>
      <c r="C976">
        <v>35.42</v>
      </c>
      <c r="D976">
        <v>0</v>
      </c>
      <c r="E976" t="s">
        <v>4</v>
      </c>
      <c r="F976" t="s">
        <v>5</v>
      </c>
      <c r="G976" s="2">
        <v>2322.6217999999999</v>
      </c>
      <c r="H976" s="1" t="str">
        <f>IF(A976&lt;31,"18-30",IF(A976&lt;46,"31-45",IF(A976&lt;61,"46-60","60+")))</f>
        <v>18-30</v>
      </c>
      <c r="I976" t="str">
        <f>IF(C976&lt;18.5,"Underweight",IF(C976&lt;25,"Normal",IF(C976&lt;30,"Overweight","Obese")))</f>
        <v>Obese</v>
      </c>
      <c r="J976">
        <f>IF(E976="yes",1,0)</f>
        <v>0</v>
      </c>
      <c r="K976" t="str">
        <f>IF(G976&gt;15000,"High","Low")</f>
        <v>Low</v>
      </c>
    </row>
    <row r="977" spans="1:11" x14ac:dyDescent="0.35">
      <c r="A977">
        <v>29</v>
      </c>
      <c r="B977" t="s">
        <v>7</v>
      </c>
      <c r="C977">
        <v>22.895</v>
      </c>
      <c r="D977">
        <v>0</v>
      </c>
      <c r="E977" t="s">
        <v>1</v>
      </c>
      <c r="F977" t="s">
        <v>6</v>
      </c>
      <c r="G977" s="2">
        <v>16138.762049999999</v>
      </c>
      <c r="H977" s="1" t="str">
        <f>IF(A977&lt;31,"18-30",IF(A977&lt;46,"31-45",IF(A977&lt;61,"46-60","60+")))</f>
        <v>18-30</v>
      </c>
      <c r="I977" t="str">
        <f>IF(C977&lt;18.5,"Underweight",IF(C977&lt;25,"Normal",IF(C977&lt;30,"Overweight","Obese")))</f>
        <v>Normal</v>
      </c>
      <c r="J977">
        <f>IF(E977="yes",1,0)</f>
        <v>1</v>
      </c>
      <c r="K977" t="str">
        <f>IF(G977&gt;15000,"High","Low")</f>
        <v>High</v>
      </c>
    </row>
    <row r="978" spans="1:11" x14ac:dyDescent="0.35">
      <c r="A978">
        <v>48</v>
      </c>
      <c r="B978" t="s">
        <v>7</v>
      </c>
      <c r="C978">
        <v>40.15</v>
      </c>
      <c r="D978">
        <v>0</v>
      </c>
      <c r="E978" t="s">
        <v>4</v>
      </c>
      <c r="F978" t="s">
        <v>5</v>
      </c>
      <c r="G978" s="2">
        <v>7804.1605</v>
      </c>
      <c r="H978" s="1" t="str">
        <f>IF(A978&lt;31,"18-30",IF(A978&lt;46,"31-45",IF(A978&lt;61,"46-60","60+")))</f>
        <v>46-60</v>
      </c>
      <c r="I978" t="str">
        <f>IF(C978&lt;18.5,"Underweight",IF(C978&lt;25,"Normal",IF(C978&lt;30,"Overweight","Obese")))</f>
        <v>Obese</v>
      </c>
      <c r="J978">
        <f>IF(E978="yes",1,0)</f>
        <v>0</v>
      </c>
      <c r="K978" t="str">
        <f>IF(G978&gt;15000,"High","Low")</f>
        <v>Low</v>
      </c>
    </row>
    <row r="979" spans="1:11" x14ac:dyDescent="0.35">
      <c r="A979">
        <v>26</v>
      </c>
      <c r="B979" t="s">
        <v>7</v>
      </c>
      <c r="C979">
        <v>29.15</v>
      </c>
      <c r="D979">
        <v>1</v>
      </c>
      <c r="E979" t="s">
        <v>4</v>
      </c>
      <c r="F979" t="s">
        <v>5</v>
      </c>
      <c r="G979" s="2">
        <v>2902.9065000000001</v>
      </c>
      <c r="H979" s="1" t="str">
        <f>IF(A979&lt;31,"18-30",IF(A979&lt;46,"31-45",IF(A979&lt;61,"46-60","60+")))</f>
        <v>18-30</v>
      </c>
      <c r="I979" t="str">
        <f>IF(C979&lt;18.5,"Underweight",IF(C979&lt;25,"Normal",IF(C979&lt;30,"Overweight","Obese")))</f>
        <v>Overweight</v>
      </c>
      <c r="J979">
        <f>IF(E979="yes",1,0)</f>
        <v>0</v>
      </c>
      <c r="K979" t="str">
        <f>IF(G979&gt;15000,"High","Low")</f>
        <v>Low</v>
      </c>
    </row>
    <row r="980" spans="1:11" x14ac:dyDescent="0.35">
      <c r="A980">
        <v>45</v>
      </c>
      <c r="B980" t="s">
        <v>2</v>
      </c>
      <c r="C980">
        <v>39.994999999999997</v>
      </c>
      <c r="D980">
        <v>3</v>
      </c>
      <c r="E980" t="s">
        <v>4</v>
      </c>
      <c r="F980" t="s">
        <v>6</v>
      </c>
      <c r="G980" s="2">
        <v>9704.6680500000002</v>
      </c>
      <c r="H980" s="1" t="str">
        <f>IF(A980&lt;31,"18-30",IF(A980&lt;46,"31-45",IF(A980&lt;61,"46-60","60+")))</f>
        <v>31-45</v>
      </c>
      <c r="I980" t="str">
        <f>IF(C980&lt;18.5,"Underweight",IF(C980&lt;25,"Normal",IF(C980&lt;30,"Overweight","Obese")))</f>
        <v>Obese</v>
      </c>
      <c r="J980">
        <f>IF(E980="yes",1,0)</f>
        <v>0</v>
      </c>
      <c r="K980" t="str">
        <f>IF(G980&gt;15000,"High","Low")</f>
        <v>Low</v>
      </c>
    </row>
    <row r="981" spans="1:11" x14ac:dyDescent="0.35">
      <c r="A981">
        <v>36</v>
      </c>
      <c r="B981" t="s">
        <v>2</v>
      </c>
      <c r="C981">
        <v>29.92</v>
      </c>
      <c r="D981">
        <v>0</v>
      </c>
      <c r="E981" t="s">
        <v>4</v>
      </c>
      <c r="F981" t="s">
        <v>5</v>
      </c>
      <c r="G981" s="2">
        <v>4889.0367999999999</v>
      </c>
      <c r="H981" s="1" t="str">
        <f>IF(A981&lt;31,"18-30",IF(A981&lt;46,"31-45",IF(A981&lt;61,"46-60","60+")))</f>
        <v>31-45</v>
      </c>
      <c r="I981" t="str">
        <f>IF(C981&lt;18.5,"Underweight",IF(C981&lt;25,"Normal",IF(C981&lt;30,"Overweight","Obese")))</f>
        <v>Overweight</v>
      </c>
      <c r="J981">
        <f>IF(E981="yes",1,0)</f>
        <v>0</v>
      </c>
      <c r="K981" t="str">
        <f>IF(G981&gt;15000,"High","Low")</f>
        <v>Low</v>
      </c>
    </row>
    <row r="982" spans="1:11" x14ac:dyDescent="0.35">
      <c r="A982">
        <v>54</v>
      </c>
      <c r="B982" t="s">
        <v>7</v>
      </c>
      <c r="C982">
        <v>25.46</v>
      </c>
      <c r="D982">
        <v>1</v>
      </c>
      <c r="E982" t="s">
        <v>4</v>
      </c>
      <c r="F982" t="s">
        <v>6</v>
      </c>
      <c r="G982" s="2">
        <v>25517.11363</v>
      </c>
      <c r="H982" s="1" t="str">
        <f>IF(A982&lt;31,"18-30",IF(A982&lt;46,"31-45",IF(A982&lt;61,"46-60","60+")))</f>
        <v>46-60</v>
      </c>
      <c r="I982" t="str">
        <f>IF(C982&lt;18.5,"Underweight",IF(C982&lt;25,"Normal",IF(C982&lt;30,"Overweight","Obese")))</f>
        <v>Overweight</v>
      </c>
      <c r="J982">
        <f>IF(E982="yes",1,0)</f>
        <v>0</v>
      </c>
      <c r="K982" t="str">
        <f>IF(G982&gt;15000,"High","Low")</f>
        <v>High</v>
      </c>
    </row>
    <row r="983" spans="1:11" x14ac:dyDescent="0.35">
      <c r="A983">
        <v>34</v>
      </c>
      <c r="B983" t="s">
        <v>7</v>
      </c>
      <c r="C983">
        <v>21.375</v>
      </c>
      <c r="D983">
        <v>0</v>
      </c>
      <c r="E983" t="s">
        <v>4</v>
      </c>
      <c r="F983" t="s">
        <v>6</v>
      </c>
      <c r="G983" s="2">
        <v>4500.33925</v>
      </c>
      <c r="H983" s="1" t="str">
        <f>IF(A983&lt;31,"18-30",IF(A983&lt;46,"31-45",IF(A983&lt;61,"46-60","60+")))</f>
        <v>31-45</v>
      </c>
      <c r="I983" t="str">
        <f>IF(C983&lt;18.5,"Underweight",IF(C983&lt;25,"Normal",IF(C983&lt;30,"Overweight","Obese")))</f>
        <v>Normal</v>
      </c>
      <c r="J983">
        <f>IF(E983="yes",1,0)</f>
        <v>0</v>
      </c>
      <c r="K983" t="str">
        <f>IF(G983&gt;15000,"High","Low")</f>
        <v>Low</v>
      </c>
    </row>
    <row r="984" spans="1:11" x14ac:dyDescent="0.35">
      <c r="A984">
        <v>31</v>
      </c>
      <c r="B984" t="s">
        <v>7</v>
      </c>
      <c r="C984">
        <v>25.9</v>
      </c>
      <c r="D984">
        <v>3</v>
      </c>
      <c r="E984" t="s">
        <v>1</v>
      </c>
      <c r="F984" t="s">
        <v>3</v>
      </c>
      <c r="G984" s="2">
        <v>19199.944</v>
      </c>
      <c r="H984" s="1" t="str">
        <f>IF(A984&lt;31,"18-30",IF(A984&lt;46,"31-45",IF(A984&lt;61,"46-60","60+")))</f>
        <v>31-45</v>
      </c>
      <c r="I984" t="str">
        <f>IF(C984&lt;18.5,"Underweight",IF(C984&lt;25,"Normal",IF(C984&lt;30,"Overweight","Obese")))</f>
        <v>Overweight</v>
      </c>
      <c r="J984">
        <f>IF(E984="yes",1,0)</f>
        <v>1</v>
      </c>
      <c r="K984" t="str">
        <f>IF(G984&gt;15000,"High","Low")</f>
        <v>High</v>
      </c>
    </row>
    <row r="985" spans="1:11" x14ac:dyDescent="0.35">
      <c r="A985">
        <v>27</v>
      </c>
      <c r="B985" t="s">
        <v>2</v>
      </c>
      <c r="C985">
        <v>30.59</v>
      </c>
      <c r="D985">
        <v>1</v>
      </c>
      <c r="E985" t="s">
        <v>4</v>
      </c>
      <c r="F985" t="s">
        <v>6</v>
      </c>
      <c r="G985" s="2">
        <v>16796.411940000002</v>
      </c>
      <c r="H985" s="1" t="str">
        <f>IF(A985&lt;31,"18-30",IF(A985&lt;46,"31-45",IF(A985&lt;61,"46-60","60+")))</f>
        <v>18-30</v>
      </c>
      <c r="I985" t="str">
        <f>IF(C985&lt;18.5,"Underweight",IF(C985&lt;25,"Normal",IF(C985&lt;30,"Overweight","Obese")))</f>
        <v>Obese</v>
      </c>
      <c r="J985">
        <f>IF(E985="yes",1,0)</f>
        <v>0</v>
      </c>
      <c r="K985" t="str">
        <f>IF(G985&gt;15000,"High","Low")</f>
        <v>High</v>
      </c>
    </row>
    <row r="986" spans="1:11" x14ac:dyDescent="0.35">
      <c r="A986">
        <v>20</v>
      </c>
      <c r="B986" t="s">
        <v>7</v>
      </c>
      <c r="C986">
        <v>30.114999999999998</v>
      </c>
      <c r="D986">
        <v>5</v>
      </c>
      <c r="E986" t="s">
        <v>4</v>
      </c>
      <c r="F986" t="s">
        <v>6</v>
      </c>
      <c r="G986" s="2">
        <v>4915.0598499999996</v>
      </c>
      <c r="H986" s="1" t="str">
        <f>IF(A986&lt;31,"18-30",IF(A986&lt;46,"31-45",IF(A986&lt;61,"46-60","60+")))</f>
        <v>18-30</v>
      </c>
      <c r="I986" t="str">
        <f>IF(C986&lt;18.5,"Underweight",IF(C986&lt;25,"Normal",IF(C986&lt;30,"Overweight","Obese")))</f>
        <v>Obese</v>
      </c>
      <c r="J986">
        <f>IF(E986="yes",1,0)</f>
        <v>0</v>
      </c>
      <c r="K986" t="str">
        <f>IF(G986&gt;15000,"High","Low")</f>
        <v>Low</v>
      </c>
    </row>
    <row r="987" spans="1:11" x14ac:dyDescent="0.35">
      <c r="A987">
        <v>44</v>
      </c>
      <c r="B987" t="s">
        <v>2</v>
      </c>
      <c r="C987">
        <v>25.8</v>
      </c>
      <c r="D987">
        <v>1</v>
      </c>
      <c r="E987" t="s">
        <v>4</v>
      </c>
      <c r="F987" t="s">
        <v>3</v>
      </c>
      <c r="G987" s="2">
        <v>7624.63</v>
      </c>
      <c r="H987" s="1" t="str">
        <f>IF(A987&lt;31,"18-30",IF(A987&lt;46,"31-45",IF(A987&lt;61,"46-60","60+")))</f>
        <v>31-45</v>
      </c>
      <c r="I987" t="str">
        <f>IF(C987&lt;18.5,"Underweight",IF(C987&lt;25,"Normal",IF(C987&lt;30,"Overweight","Obese")))</f>
        <v>Overweight</v>
      </c>
      <c r="J987">
        <f>IF(E987="yes",1,0)</f>
        <v>0</v>
      </c>
      <c r="K987" t="str">
        <f>IF(G987&gt;15000,"High","Low")</f>
        <v>Low</v>
      </c>
    </row>
    <row r="988" spans="1:11" x14ac:dyDescent="0.35">
      <c r="A988">
        <v>43</v>
      </c>
      <c r="B988" t="s">
        <v>7</v>
      </c>
      <c r="C988">
        <v>30.114999999999998</v>
      </c>
      <c r="D988">
        <v>3</v>
      </c>
      <c r="E988" t="s">
        <v>4</v>
      </c>
      <c r="F988" t="s">
        <v>0</v>
      </c>
      <c r="G988" s="2">
        <v>8410.0468500000006</v>
      </c>
      <c r="H988" s="1" t="str">
        <f>IF(A988&lt;31,"18-30",IF(A988&lt;46,"31-45",IF(A988&lt;61,"46-60","60+")))</f>
        <v>31-45</v>
      </c>
      <c r="I988" t="str">
        <f>IF(C988&lt;18.5,"Underweight",IF(C988&lt;25,"Normal",IF(C988&lt;30,"Overweight","Obese")))</f>
        <v>Obese</v>
      </c>
      <c r="J988">
        <f>IF(E988="yes",1,0)</f>
        <v>0</v>
      </c>
      <c r="K988" t="str">
        <f>IF(G988&gt;15000,"High","Low")</f>
        <v>Low</v>
      </c>
    </row>
    <row r="989" spans="1:11" x14ac:dyDescent="0.35">
      <c r="A989">
        <v>45</v>
      </c>
      <c r="B989" t="s">
        <v>2</v>
      </c>
      <c r="C989">
        <v>27.645</v>
      </c>
      <c r="D989">
        <v>1</v>
      </c>
      <c r="E989" t="s">
        <v>4</v>
      </c>
      <c r="F989" t="s">
        <v>0</v>
      </c>
      <c r="G989" s="2">
        <v>28340.188849999999</v>
      </c>
      <c r="H989" s="1" t="str">
        <f>IF(A989&lt;31,"18-30",IF(A989&lt;46,"31-45",IF(A989&lt;61,"46-60","60+")))</f>
        <v>31-45</v>
      </c>
      <c r="I989" t="str">
        <f>IF(C989&lt;18.5,"Underweight",IF(C989&lt;25,"Normal",IF(C989&lt;30,"Overweight","Obese")))</f>
        <v>Overweight</v>
      </c>
      <c r="J989">
        <f>IF(E989="yes",1,0)</f>
        <v>0</v>
      </c>
      <c r="K989" t="str">
        <f>IF(G989&gt;15000,"High","Low")</f>
        <v>High</v>
      </c>
    </row>
    <row r="990" spans="1:11" x14ac:dyDescent="0.35">
      <c r="A990">
        <v>34</v>
      </c>
      <c r="B990" t="s">
        <v>7</v>
      </c>
      <c r="C990">
        <v>34.674999999999997</v>
      </c>
      <c r="D990">
        <v>0</v>
      </c>
      <c r="E990" t="s">
        <v>4</v>
      </c>
      <c r="F990" t="s">
        <v>6</v>
      </c>
      <c r="G990" s="2">
        <v>4518.8262500000001</v>
      </c>
      <c r="H990" s="1" t="str">
        <f>IF(A990&lt;31,"18-30",IF(A990&lt;46,"31-45",IF(A990&lt;61,"46-60","60+")))</f>
        <v>31-45</v>
      </c>
      <c r="I990" t="str">
        <f>IF(C990&lt;18.5,"Underweight",IF(C990&lt;25,"Normal",IF(C990&lt;30,"Overweight","Obese")))</f>
        <v>Obese</v>
      </c>
      <c r="J990">
        <f>IF(E990="yes",1,0)</f>
        <v>0</v>
      </c>
      <c r="K990" t="str">
        <f>IF(G990&gt;15000,"High","Low")</f>
        <v>Low</v>
      </c>
    </row>
    <row r="991" spans="1:11" x14ac:dyDescent="0.35">
      <c r="A991">
        <v>24</v>
      </c>
      <c r="B991" t="s">
        <v>2</v>
      </c>
      <c r="C991">
        <v>20.52</v>
      </c>
      <c r="D991">
        <v>0</v>
      </c>
      <c r="E991" t="s">
        <v>1</v>
      </c>
      <c r="F991" t="s">
        <v>6</v>
      </c>
      <c r="G991" s="2">
        <v>14571.890799999999</v>
      </c>
      <c r="H991" s="1" t="str">
        <f>IF(A991&lt;31,"18-30",IF(A991&lt;46,"31-45",IF(A991&lt;61,"46-60","60+")))</f>
        <v>18-30</v>
      </c>
      <c r="I991" t="str">
        <f>IF(C991&lt;18.5,"Underweight",IF(C991&lt;25,"Normal",IF(C991&lt;30,"Overweight","Obese")))</f>
        <v>Normal</v>
      </c>
      <c r="J991">
        <f>IF(E991="yes",1,0)</f>
        <v>1</v>
      </c>
      <c r="K991" t="str">
        <f>IF(G991&gt;15000,"High","Low")</f>
        <v>Low</v>
      </c>
    </row>
    <row r="992" spans="1:11" x14ac:dyDescent="0.35">
      <c r="A992">
        <v>26</v>
      </c>
      <c r="B992" t="s">
        <v>2</v>
      </c>
      <c r="C992">
        <v>19.8</v>
      </c>
      <c r="D992">
        <v>1</v>
      </c>
      <c r="E992" t="s">
        <v>4</v>
      </c>
      <c r="F992" t="s">
        <v>3</v>
      </c>
      <c r="G992" s="2">
        <v>3378.91</v>
      </c>
      <c r="H992" s="1" t="str">
        <f>IF(A992&lt;31,"18-30",IF(A992&lt;46,"31-45",IF(A992&lt;61,"46-60","60+")))</f>
        <v>18-30</v>
      </c>
      <c r="I992" t="str">
        <f>IF(C992&lt;18.5,"Underweight",IF(C992&lt;25,"Normal",IF(C992&lt;30,"Overweight","Obese")))</f>
        <v>Normal</v>
      </c>
      <c r="J992">
        <f>IF(E992="yes",1,0)</f>
        <v>0</v>
      </c>
      <c r="K992" t="str">
        <f>IF(G992&gt;15000,"High","Low")</f>
        <v>Low</v>
      </c>
    </row>
    <row r="993" spans="1:11" x14ac:dyDescent="0.35">
      <c r="A993">
        <v>38</v>
      </c>
      <c r="B993" t="s">
        <v>2</v>
      </c>
      <c r="C993">
        <v>27.835000000000001</v>
      </c>
      <c r="D993">
        <v>2</v>
      </c>
      <c r="E993" t="s">
        <v>4</v>
      </c>
      <c r="F993" t="s">
        <v>6</v>
      </c>
      <c r="G993" s="2">
        <v>7144.86265</v>
      </c>
      <c r="H993" s="1" t="str">
        <f>IF(A993&lt;31,"18-30",IF(A993&lt;46,"31-45",IF(A993&lt;61,"46-60","60+")))</f>
        <v>31-45</v>
      </c>
      <c r="I993" t="str">
        <f>IF(C993&lt;18.5,"Underweight",IF(C993&lt;25,"Normal",IF(C993&lt;30,"Overweight","Obese")))</f>
        <v>Overweight</v>
      </c>
      <c r="J993">
        <f>IF(E993="yes",1,0)</f>
        <v>0</v>
      </c>
      <c r="K993" t="str">
        <f>IF(G993&gt;15000,"High","Low")</f>
        <v>Low</v>
      </c>
    </row>
    <row r="994" spans="1:11" x14ac:dyDescent="0.35">
      <c r="A994">
        <v>50</v>
      </c>
      <c r="B994" t="s">
        <v>2</v>
      </c>
      <c r="C994">
        <v>31.6</v>
      </c>
      <c r="D994">
        <v>2</v>
      </c>
      <c r="E994" t="s">
        <v>4</v>
      </c>
      <c r="F994" t="s">
        <v>3</v>
      </c>
      <c r="G994" s="2">
        <v>10118.424000000001</v>
      </c>
      <c r="H994" s="1" t="str">
        <f>IF(A994&lt;31,"18-30",IF(A994&lt;46,"31-45",IF(A994&lt;61,"46-60","60+")))</f>
        <v>46-60</v>
      </c>
      <c r="I994" t="str">
        <f>IF(C994&lt;18.5,"Underweight",IF(C994&lt;25,"Normal",IF(C994&lt;30,"Overweight","Obese")))</f>
        <v>Obese</v>
      </c>
      <c r="J994">
        <f>IF(E994="yes",1,0)</f>
        <v>0</v>
      </c>
      <c r="K994" t="str">
        <f>IF(G994&gt;15000,"High","Low")</f>
        <v>Low</v>
      </c>
    </row>
    <row r="995" spans="1:11" x14ac:dyDescent="0.35">
      <c r="A995">
        <v>38</v>
      </c>
      <c r="B995" t="s">
        <v>7</v>
      </c>
      <c r="C995">
        <v>28.27</v>
      </c>
      <c r="D995">
        <v>1</v>
      </c>
      <c r="E995" t="s">
        <v>4</v>
      </c>
      <c r="F995" t="s">
        <v>5</v>
      </c>
      <c r="G995" s="2">
        <v>5484.4673000000003</v>
      </c>
      <c r="H995" s="1" t="str">
        <f>IF(A995&lt;31,"18-30",IF(A995&lt;46,"31-45",IF(A995&lt;61,"46-60","60+")))</f>
        <v>31-45</v>
      </c>
      <c r="I995" t="str">
        <f>IF(C995&lt;18.5,"Underweight",IF(C995&lt;25,"Normal",IF(C995&lt;30,"Overweight","Obese")))</f>
        <v>Overweight</v>
      </c>
      <c r="J995">
        <f>IF(E995="yes",1,0)</f>
        <v>0</v>
      </c>
      <c r="K995" t="str">
        <f>IF(G995&gt;15000,"High","Low")</f>
        <v>Low</v>
      </c>
    </row>
    <row r="996" spans="1:11" x14ac:dyDescent="0.35">
      <c r="A996">
        <v>27</v>
      </c>
      <c r="B996" t="s">
        <v>2</v>
      </c>
      <c r="C996">
        <v>20.045000000000002</v>
      </c>
      <c r="D996">
        <v>3</v>
      </c>
      <c r="E996" t="s">
        <v>1</v>
      </c>
      <c r="F996" t="s">
        <v>0</v>
      </c>
      <c r="G996" s="2">
        <v>16420.494549999999</v>
      </c>
      <c r="H996" s="1" t="str">
        <f>IF(A996&lt;31,"18-30",IF(A996&lt;46,"31-45",IF(A996&lt;61,"46-60","60+")))</f>
        <v>18-30</v>
      </c>
      <c r="I996" t="str">
        <f>IF(C996&lt;18.5,"Underweight",IF(C996&lt;25,"Normal",IF(C996&lt;30,"Overweight","Obese")))</f>
        <v>Normal</v>
      </c>
      <c r="J996">
        <f>IF(E996="yes",1,0)</f>
        <v>1</v>
      </c>
      <c r="K996" t="str">
        <f>IF(G996&gt;15000,"High","Low")</f>
        <v>High</v>
      </c>
    </row>
    <row r="997" spans="1:11" x14ac:dyDescent="0.35">
      <c r="A997">
        <v>39</v>
      </c>
      <c r="B997" t="s">
        <v>2</v>
      </c>
      <c r="C997">
        <v>23.274999999999999</v>
      </c>
      <c r="D997">
        <v>3</v>
      </c>
      <c r="E997" t="s">
        <v>4</v>
      </c>
      <c r="F997" t="s">
        <v>6</v>
      </c>
      <c r="G997" s="2">
        <v>7986.4752500000004</v>
      </c>
      <c r="H997" s="1" t="str">
        <f>IF(A997&lt;31,"18-30",IF(A997&lt;46,"31-45",IF(A997&lt;61,"46-60","60+")))</f>
        <v>31-45</v>
      </c>
      <c r="I997" t="str">
        <f>IF(C997&lt;18.5,"Underweight",IF(C997&lt;25,"Normal",IF(C997&lt;30,"Overweight","Obese")))</f>
        <v>Normal</v>
      </c>
      <c r="J997">
        <f>IF(E997="yes",1,0)</f>
        <v>0</v>
      </c>
      <c r="K997" t="str">
        <f>IF(G997&gt;15000,"High","Low")</f>
        <v>Low</v>
      </c>
    </row>
    <row r="998" spans="1:11" x14ac:dyDescent="0.35">
      <c r="A998">
        <v>39</v>
      </c>
      <c r="B998" t="s">
        <v>2</v>
      </c>
      <c r="C998">
        <v>34.1</v>
      </c>
      <c r="D998">
        <v>3</v>
      </c>
      <c r="E998" t="s">
        <v>4</v>
      </c>
      <c r="F998" t="s">
        <v>3</v>
      </c>
      <c r="G998" s="2">
        <v>7418.5219999999999</v>
      </c>
      <c r="H998" s="1" t="str">
        <f>IF(A998&lt;31,"18-30",IF(A998&lt;46,"31-45",IF(A998&lt;61,"46-60","60+")))</f>
        <v>31-45</v>
      </c>
      <c r="I998" t="str">
        <f>IF(C998&lt;18.5,"Underweight",IF(C998&lt;25,"Normal",IF(C998&lt;30,"Overweight","Obese")))</f>
        <v>Obese</v>
      </c>
      <c r="J998">
        <f>IF(E998="yes",1,0)</f>
        <v>0</v>
      </c>
      <c r="K998" t="str">
        <f>IF(G998&gt;15000,"High","Low")</f>
        <v>Low</v>
      </c>
    </row>
    <row r="999" spans="1:11" x14ac:dyDescent="0.35">
      <c r="A999">
        <v>63</v>
      </c>
      <c r="B999" t="s">
        <v>2</v>
      </c>
      <c r="C999">
        <v>36.85</v>
      </c>
      <c r="D999">
        <v>0</v>
      </c>
      <c r="E999" t="s">
        <v>4</v>
      </c>
      <c r="F999" t="s">
        <v>5</v>
      </c>
      <c r="G999" s="2">
        <v>13887.968500000001</v>
      </c>
      <c r="H999" s="1" t="str">
        <f>IF(A999&lt;31,"18-30",IF(A999&lt;46,"31-45",IF(A999&lt;61,"46-60","60+")))</f>
        <v>60+</v>
      </c>
      <c r="I999" t="str">
        <f>IF(C999&lt;18.5,"Underweight",IF(C999&lt;25,"Normal",IF(C999&lt;30,"Overweight","Obese")))</f>
        <v>Obese</v>
      </c>
      <c r="J999">
        <f>IF(E999="yes",1,0)</f>
        <v>0</v>
      </c>
      <c r="K999" t="str">
        <f>IF(G999&gt;15000,"High","Low")</f>
        <v>Low</v>
      </c>
    </row>
    <row r="1000" spans="1:11" x14ac:dyDescent="0.35">
      <c r="A1000">
        <v>33</v>
      </c>
      <c r="B1000" t="s">
        <v>2</v>
      </c>
      <c r="C1000">
        <v>36.29</v>
      </c>
      <c r="D1000">
        <v>3</v>
      </c>
      <c r="E1000" t="s">
        <v>4</v>
      </c>
      <c r="F1000" t="s">
        <v>6</v>
      </c>
      <c r="G1000" s="2">
        <v>6551.7501000000002</v>
      </c>
      <c r="H1000" s="1" t="str">
        <f>IF(A1000&lt;31,"18-30",IF(A1000&lt;46,"31-45",IF(A1000&lt;61,"46-60","60+")))</f>
        <v>31-45</v>
      </c>
      <c r="I1000" t="str">
        <f>IF(C1000&lt;18.5,"Underweight",IF(C1000&lt;25,"Normal",IF(C1000&lt;30,"Overweight","Obese")))</f>
        <v>Obese</v>
      </c>
      <c r="J1000">
        <f>IF(E1000="yes",1,0)</f>
        <v>0</v>
      </c>
      <c r="K1000" t="str">
        <f>IF(G1000&gt;15000,"High","Low")</f>
        <v>Low</v>
      </c>
    </row>
    <row r="1001" spans="1:11" x14ac:dyDescent="0.35">
      <c r="A1001">
        <v>36</v>
      </c>
      <c r="B1001" t="s">
        <v>2</v>
      </c>
      <c r="C1001">
        <v>26.885000000000002</v>
      </c>
      <c r="D1001">
        <v>0</v>
      </c>
      <c r="E1001" t="s">
        <v>4</v>
      </c>
      <c r="F1001" t="s">
        <v>0</v>
      </c>
      <c r="G1001" s="2">
        <v>5267.8181500000001</v>
      </c>
      <c r="H1001" s="1" t="str">
        <f>IF(A1001&lt;31,"18-30",IF(A1001&lt;46,"31-45",IF(A1001&lt;61,"46-60","60+")))</f>
        <v>31-45</v>
      </c>
      <c r="I1001" t="str">
        <f>IF(C1001&lt;18.5,"Underweight",IF(C1001&lt;25,"Normal",IF(C1001&lt;30,"Overweight","Obese")))</f>
        <v>Overweight</v>
      </c>
      <c r="J1001">
        <f>IF(E1001="yes",1,0)</f>
        <v>0</v>
      </c>
      <c r="K1001" t="str">
        <f>IF(G1001&gt;15000,"High","Low")</f>
        <v>Low</v>
      </c>
    </row>
    <row r="1002" spans="1:11" x14ac:dyDescent="0.35">
      <c r="A1002">
        <v>30</v>
      </c>
      <c r="B1002" t="s">
        <v>7</v>
      </c>
      <c r="C1002">
        <v>22.99</v>
      </c>
      <c r="D1002">
        <v>2</v>
      </c>
      <c r="E1002" t="s">
        <v>1</v>
      </c>
      <c r="F1002" t="s">
        <v>0</v>
      </c>
      <c r="G1002" s="2">
        <v>17361.766100000001</v>
      </c>
      <c r="H1002" s="1" t="str">
        <f>IF(A1002&lt;31,"18-30",IF(A1002&lt;46,"31-45",IF(A1002&lt;61,"46-60","60+")))</f>
        <v>18-30</v>
      </c>
      <c r="I1002" t="str">
        <f>IF(C1002&lt;18.5,"Underweight",IF(C1002&lt;25,"Normal",IF(C1002&lt;30,"Overweight","Obese")))</f>
        <v>Normal</v>
      </c>
      <c r="J1002">
        <f>IF(E1002="yes",1,0)</f>
        <v>1</v>
      </c>
      <c r="K1002" t="str">
        <f>IF(G1002&gt;15000,"High","Low")</f>
        <v>High</v>
      </c>
    </row>
    <row r="1003" spans="1:11" x14ac:dyDescent="0.35">
      <c r="A1003">
        <v>24</v>
      </c>
      <c r="B1003" t="s">
        <v>7</v>
      </c>
      <c r="C1003">
        <v>32.700000000000003</v>
      </c>
      <c r="D1003">
        <v>0</v>
      </c>
      <c r="E1003" t="s">
        <v>1</v>
      </c>
      <c r="F1003" t="s">
        <v>3</v>
      </c>
      <c r="G1003" s="2">
        <v>34472.841</v>
      </c>
      <c r="H1003" s="1" t="str">
        <f>IF(A1003&lt;31,"18-30",IF(A1003&lt;46,"31-45",IF(A1003&lt;61,"46-60","60+")))</f>
        <v>18-30</v>
      </c>
      <c r="I1003" t="str">
        <f>IF(C1003&lt;18.5,"Underweight",IF(C1003&lt;25,"Normal",IF(C1003&lt;30,"Overweight","Obese")))</f>
        <v>Obese</v>
      </c>
      <c r="J1003">
        <f>IF(E1003="yes",1,0)</f>
        <v>1</v>
      </c>
      <c r="K1003" t="str">
        <f>IF(G1003&gt;15000,"High","Low")</f>
        <v>High</v>
      </c>
    </row>
    <row r="1004" spans="1:11" x14ac:dyDescent="0.35">
      <c r="A1004">
        <v>24</v>
      </c>
      <c r="B1004" t="s">
        <v>7</v>
      </c>
      <c r="C1004">
        <v>25.8</v>
      </c>
      <c r="D1004">
        <v>0</v>
      </c>
      <c r="E1004" t="s">
        <v>4</v>
      </c>
      <c r="F1004" t="s">
        <v>3</v>
      </c>
      <c r="G1004" s="2">
        <v>1972.95</v>
      </c>
      <c r="H1004" s="1" t="str">
        <f>IF(A1004&lt;31,"18-30",IF(A1004&lt;46,"31-45",IF(A1004&lt;61,"46-60","60+")))</f>
        <v>18-30</v>
      </c>
      <c r="I1004" t="str">
        <f>IF(C1004&lt;18.5,"Underweight",IF(C1004&lt;25,"Normal",IF(C1004&lt;30,"Overweight","Obese")))</f>
        <v>Overweight</v>
      </c>
      <c r="J1004">
        <f>IF(E1004="yes",1,0)</f>
        <v>0</v>
      </c>
      <c r="K1004" t="str">
        <f>IF(G1004&gt;15000,"High","Low")</f>
        <v>Low</v>
      </c>
    </row>
    <row r="1005" spans="1:11" x14ac:dyDescent="0.35">
      <c r="A1005">
        <v>48</v>
      </c>
      <c r="B1005" t="s">
        <v>7</v>
      </c>
      <c r="C1005">
        <v>29.6</v>
      </c>
      <c r="D1005">
        <v>0</v>
      </c>
      <c r="E1005" t="s">
        <v>4</v>
      </c>
      <c r="F1005" t="s">
        <v>3</v>
      </c>
      <c r="G1005" s="2">
        <v>21232.182260000001</v>
      </c>
      <c r="H1005" s="1" t="str">
        <f>IF(A1005&lt;31,"18-30",IF(A1005&lt;46,"31-45",IF(A1005&lt;61,"46-60","60+")))</f>
        <v>46-60</v>
      </c>
      <c r="I1005" t="str">
        <f>IF(C1005&lt;18.5,"Underweight",IF(C1005&lt;25,"Normal",IF(C1005&lt;30,"Overweight","Obese")))</f>
        <v>Overweight</v>
      </c>
      <c r="J1005">
        <f>IF(E1005="yes",1,0)</f>
        <v>0</v>
      </c>
      <c r="K1005" t="str">
        <f>IF(G1005&gt;15000,"High","Low")</f>
        <v>High</v>
      </c>
    </row>
    <row r="1006" spans="1:11" x14ac:dyDescent="0.35">
      <c r="A1006">
        <v>47</v>
      </c>
      <c r="B1006" t="s">
        <v>7</v>
      </c>
      <c r="C1006">
        <v>19.190000000000001</v>
      </c>
      <c r="D1006">
        <v>1</v>
      </c>
      <c r="E1006" t="s">
        <v>4</v>
      </c>
      <c r="F1006" t="s">
        <v>6</v>
      </c>
      <c r="G1006" s="2">
        <v>8627.5411000000004</v>
      </c>
      <c r="H1006" s="1" t="str">
        <f>IF(A1006&lt;31,"18-30",IF(A1006&lt;46,"31-45",IF(A1006&lt;61,"46-60","60+")))</f>
        <v>46-60</v>
      </c>
      <c r="I1006" t="str">
        <f>IF(C1006&lt;18.5,"Underweight",IF(C1006&lt;25,"Normal",IF(C1006&lt;30,"Overweight","Obese")))</f>
        <v>Normal</v>
      </c>
      <c r="J1006">
        <f>IF(E1006="yes",1,0)</f>
        <v>0</v>
      </c>
      <c r="K1006" t="str">
        <f>IF(G1006&gt;15000,"High","Low")</f>
        <v>Low</v>
      </c>
    </row>
    <row r="1007" spans="1:11" x14ac:dyDescent="0.35">
      <c r="A1007">
        <v>29</v>
      </c>
      <c r="B1007" t="s">
        <v>7</v>
      </c>
      <c r="C1007">
        <v>31.73</v>
      </c>
      <c r="D1007">
        <v>2</v>
      </c>
      <c r="E1007" t="s">
        <v>4</v>
      </c>
      <c r="F1007" t="s">
        <v>0</v>
      </c>
      <c r="G1007" s="2">
        <v>4433.3877000000002</v>
      </c>
      <c r="H1007" s="1" t="str">
        <f>IF(A1007&lt;31,"18-30",IF(A1007&lt;46,"31-45",IF(A1007&lt;61,"46-60","60+")))</f>
        <v>18-30</v>
      </c>
      <c r="I1007" t="str">
        <f>IF(C1007&lt;18.5,"Underweight",IF(C1007&lt;25,"Normal",IF(C1007&lt;30,"Overweight","Obese")))</f>
        <v>Obese</v>
      </c>
      <c r="J1007">
        <f>IF(E1007="yes",1,0)</f>
        <v>0</v>
      </c>
      <c r="K1007" t="str">
        <f>IF(G1007&gt;15000,"High","Low")</f>
        <v>Low</v>
      </c>
    </row>
    <row r="1008" spans="1:11" x14ac:dyDescent="0.35">
      <c r="A1008">
        <v>28</v>
      </c>
      <c r="B1008" t="s">
        <v>7</v>
      </c>
      <c r="C1008">
        <v>29.26</v>
      </c>
      <c r="D1008">
        <v>2</v>
      </c>
      <c r="E1008" t="s">
        <v>4</v>
      </c>
      <c r="F1008" t="s">
        <v>6</v>
      </c>
      <c r="G1008" s="2">
        <v>4438.2633999999998</v>
      </c>
      <c r="H1008" s="1" t="str">
        <f>IF(A1008&lt;31,"18-30",IF(A1008&lt;46,"31-45",IF(A1008&lt;61,"46-60","60+")))</f>
        <v>18-30</v>
      </c>
      <c r="I1008" t="str">
        <f>IF(C1008&lt;18.5,"Underweight",IF(C1008&lt;25,"Normal",IF(C1008&lt;30,"Overweight","Obese")))</f>
        <v>Overweight</v>
      </c>
      <c r="J1008">
        <f>IF(E1008="yes",1,0)</f>
        <v>0</v>
      </c>
      <c r="K1008" t="str">
        <f>IF(G1008&gt;15000,"High","Low")</f>
        <v>Low</v>
      </c>
    </row>
    <row r="1009" spans="1:11" x14ac:dyDescent="0.35">
      <c r="A1009">
        <v>47</v>
      </c>
      <c r="B1009" t="s">
        <v>7</v>
      </c>
      <c r="C1009">
        <v>28.215</v>
      </c>
      <c r="D1009">
        <v>3</v>
      </c>
      <c r="E1009" t="s">
        <v>1</v>
      </c>
      <c r="F1009" t="s">
        <v>0</v>
      </c>
      <c r="G1009" s="2">
        <v>24915.220850000002</v>
      </c>
      <c r="H1009" s="1" t="str">
        <f>IF(A1009&lt;31,"18-30",IF(A1009&lt;46,"31-45",IF(A1009&lt;61,"46-60","60+")))</f>
        <v>46-60</v>
      </c>
      <c r="I1009" t="str">
        <f>IF(C1009&lt;18.5,"Underweight",IF(C1009&lt;25,"Normal",IF(C1009&lt;30,"Overweight","Obese")))</f>
        <v>Overweight</v>
      </c>
      <c r="J1009">
        <f>IF(E1009="yes",1,0)</f>
        <v>1</v>
      </c>
      <c r="K1009" t="str">
        <f>IF(G1009&gt;15000,"High","Low")</f>
        <v>High</v>
      </c>
    </row>
    <row r="1010" spans="1:11" x14ac:dyDescent="0.35">
      <c r="A1010">
        <v>25</v>
      </c>
      <c r="B1010" t="s">
        <v>7</v>
      </c>
      <c r="C1010">
        <v>24.984999999999999</v>
      </c>
      <c r="D1010">
        <v>2</v>
      </c>
      <c r="E1010" t="s">
        <v>4</v>
      </c>
      <c r="F1010" t="s">
        <v>6</v>
      </c>
      <c r="G1010" s="2">
        <v>23241.47453</v>
      </c>
      <c r="H1010" s="1" t="str">
        <f>IF(A1010&lt;31,"18-30",IF(A1010&lt;46,"31-45",IF(A1010&lt;61,"46-60","60+")))</f>
        <v>18-30</v>
      </c>
      <c r="I1010" t="str">
        <f>IF(C1010&lt;18.5,"Underweight",IF(C1010&lt;25,"Normal",IF(C1010&lt;30,"Overweight","Obese")))</f>
        <v>Normal</v>
      </c>
      <c r="J1010">
        <f>IF(E1010="yes",1,0)</f>
        <v>0</v>
      </c>
      <c r="K1010" t="str">
        <f>IF(G1010&gt;15000,"High","Low")</f>
        <v>High</v>
      </c>
    </row>
    <row r="1011" spans="1:11" x14ac:dyDescent="0.35">
      <c r="A1011">
        <v>51</v>
      </c>
      <c r="B1011" t="s">
        <v>7</v>
      </c>
      <c r="C1011">
        <v>27.74</v>
      </c>
      <c r="D1011">
        <v>1</v>
      </c>
      <c r="E1011" t="s">
        <v>4</v>
      </c>
      <c r="F1011" t="s">
        <v>6</v>
      </c>
      <c r="G1011" s="2">
        <v>9957.7216000000008</v>
      </c>
      <c r="H1011" s="1" t="str">
        <f>IF(A1011&lt;31,"18-30",IF(A1011&lt;46,"31-45",IF(A1011&lt;61,"46-60","60+")))</f>
        <v>46-60</v>
      </c>
      <c r="I1011" t="str">
        <f>IF(C1011&lt;18.5,"Underweight",IF(C1011&lt;25,"Normal",IF(C1011&lt;30,"Overweight","Obese")))</f>
        <v>Overweight</v>
      </c>
      <c r="J1011">
        <f>IF(E1011="yes",1,0)</f>
        <v>0</v>
      </c>
      <c r="K1011" t="str">
        <f>IF(G1011&gt;15000,"High","Low")</f>
        <v>Low</v>
      </c>
    </row>
    <row r="1012" spans="1:11" x14ac:dyDescent="0.35">
      <c r="A1012">
        <v>48</v>
      </c>
      <c r="B1012" t="s">
        <v>2</v>
      </c>
      <c r="C1012">
        <v>22.8</v>
      </c>
      <c r="D1012">
        <v>0</v>
      </c>
      <c r="E1012" t="s">
        <v>4</v>
      </c>
      <c r="F1012" t="s">
        <v>3</v>
      </c>
      <c r="G1012" s="2">
        <v>8269.0439999999999</v>
      </c>
      <c r="H1012" s="1" t="str">
        <f>IF(A1012&lt;31,"18-30",IF(A1012&lt;46,"31-45",IF(A1012&lt;61,"46-60","60+")))</f>
        <v>46-60</v>
      </c>
      <c r="I1012" t="str">
        <f>IF(C1012&lt;18.5,"Underweight",IF(C1012&lt;25,"Normal",IF(C1012&lt;30,"Overweight","Obese")))</f>
        <v>Normal</v>
      </c>
      <c r="J1012">
        <f>IF(E1012="yes",1,0)</f>
        <v>0</v>
      </c>
      <c r="K1012" t="str">
        <f>IF(G1012&gt;15000,"High","Low")</f>
        <v>Low</v>
      </c>
    </row>
    <row r="1013" spans="1:11" x14ac:dyDescent="0.35">
      <c r="A1013">
        <v>43</v>
      </c>
      <c r="B1013" t="s">
        <v>7</v>
      </c>
      <c r="C1013">
        <v>20.13</v>
      </c>
      <c r="D1013">
        <v>2</v>
      </c>
      <c r="E1013" t="s">
        <v>1</v>
      </c>
      <c r="F1013" t="s">
        <v>5</v>
      </c>
      <c r="G1013" s="2">
        <v>18767.737700000001</v>
      </c>
      <c r="H1013" s="1" t="str">
        <f>IF(A1013&lt;31,"18-30",IF(A1013&lt;46,"31-45",IF(A1013&lt;61,"46-60","60+")))</f>
        <v>31-45</v>
      </c>
      <c r="I1013" t="str">
        <f>IF(C1013&lt;18.5,"Underweight",IF(C1013&lt;25,"Normal",IF(C1013&lt;30,"Overweight","Obese")))</f>
        <v>Normal</v>
      </c>
      <c r="J1013">
        <f>IF(E1013="yes",1,0)</f>
        <v>1</v>
      </c>
      <c r="K1013" t="str">
        <f>IF(G1013&gt;15000,"High","Low")</f>
        <v>High</v>
      </c>
    </row>
    <row r="1014" spans="1:11" x14ac:dyDescent="0.35">
      <c r="A1014">
        <v>61</v>
      </c>
      <c r="B1014" t="s">
        <v>2</v>
      </c>
      <c r="C1014">
        <v>33.33</v>
      </c>
      <c r="D1014">
        <v>4</v>
      </c>
      <c r="E1014" t="s">
        <v>4</v>
      </c>
      <c r="F1014" t="s">
        <v>5</v>
      </c>
      <c r="G1014" s="2">
        <v>36580.282160000002</v>
      </c>
      <c r="H1014" s="1" t="str">
        <f>IF(A1014&lt;31,"18-30",IF(A1014&lt;46,"31-45",IF(A1014&lt;61,"46-60","60+")))</f>
        <v>60+</v>
      </c>
      <c r="I1014" t="str">
        <f>IF(C1014&lt;18.5,"Underweight",IF(C1014&lt;25,"Normal",IF(C1014&lt;30,"Overweight","Obese")))</f>
        <v>Obese</v>
      </c>
      <c r="J1014">
        <f>IF(E1014="yes",1,0)</f>
        <v>0</v>
      </c>
      <c r="K1014" t="str">
        <f>IF(G1014&gt;15000,"High","Low")</f>
        <v>High</v>
      </c>
    </row>
    <row r="1015" spans="1:11" x14ac:dyDescent="0.35">
      <c r="A1015">
        <v>48</v>
      </c>
      <c r="B1015" t="s">
        <v>7</v>
      </c>
      <c r="C1015">
        <v>32.299999999999997</v>
      </c>
      <c r="D1015">
        <v>1</v>
      </c>
      <c r="E1015" t="s">
        <v>4</v>
      </c>
      <c r="F1015" t="s">
        <v>0</v>
      </c>
      <c r="G1015" s="2">
        <v>8765.2489999999998</v>
      </c>
      <c r="H1015" s="1" t="str">
        <f>IF(A1015&lt;31,"18-30",IF(A1015&lt;46,"31-45",IF(A1015&lt;61,"46-60","60+")))</f>
        <v>46-60</v>
      </c>
      <c r="I1015" t="str">
        <f>IF(C1015&lt;18.5,"Underweight",IF(C1015&lt;25,"Normal",IF(C1015&lt;30,"Overweight","Obese")))</f>
        <v>Obese</v>
      </c>
      <c r="J1015">
        <f>IF(E1015="yes",1,0)</f>
        <v>0</v>
      </c>
      <c r="K1015" t="str">
        <f>IF(G1015&gt;15000,"High","Low")</f>
        <v>Low</v>
      </c>
    </row>
    <row r="1016" spans="1:11" x14ac:dyDescent="0.35">
      <c r="A1016">
        <v>38</v>
      </c>
      <c r="B1016" t="s">
        <v>2</v>
      </c>
      <c r="C1016">
        <v>27.6</v>
      </c>
      <c r="D1016">
        <v>0</v>
      </c>
      <c r="E1016" t="s">
        <v>4</v>
      </c>
      <c r="F1016" t="s">
        <v>3</v>
      </c>
      <c r="G1016" s="2">
        <v>5383.5360000000001</v>
      </c>
      <c r="H1016" s="1" t="str">
        <f>IF(A1016&lt;31,"18-30",IF(A1016&lt;46,"31-45",IF(A1016&lt;61,"46-60","60+")))</f>
        <v>31-45</v>
      </c>
      <c r="I1016" t="str">
        <f>IF(C1016&lt;18.5,"Underweight",IF(C1016&lt;25,"Normal",IF(C1016&lt;30,"Overweight","Obese")))</f>
        <v>Overweight</v>
      </c>
      <c r="J1016">
        <f>IF(E1016="yes",1,0)</f>
        <v>0</v>
      </c>
      <c r="K1016" t="str">
        <f>IF(G1016&gt;15000,"High","Low")</f>
        <v>Low</v>
      </c>
    </row>
    <row r="1017" spans="1:11" x14ac:dyDescent="0.35">
      <c r="A1017">
        <v>59</v>
      </c>
      <c r="B1017" t="s">
        <v>7</v>
      </c>
      <c r="C1017">
        <v>25.46</v>
      </c>
      <c r="D1017">
        <v>0</v>
      </c>
      <c r="E1017" t="s">
        <v>4</v>
      </c>
      <c r="F1017" t="s">
        <v>0</v>
      </c>
      <c r="G1017" s="2">
        <v>12124.992399999999</v>
      </c>
      <c r="H1017" s="1" t="str">
        <f>IF(A1017&lt;31,"18-30",IF(A1017&lt;46,"31-45",IF(A1017&lt;61,"46-60","60+")))</f>
        <v>46-60</v>
      </c>
      <c r="I1017" t="str">
        <f>IF(C1017&lt;18.5,"Underweight",IF(C1017&lt;25,"Normal",IF(C1017&lt;30,"Overweight","Obese")))</f>
        <v>Overweight</v>
      </c>
      <c r="J1017">
        <f>IF(E1017="yes",1,0)</f>
        <v>0</v>
      </c>
      <c r="K1017" t="str">
        <f>IF(G1017&gt;15000,"High","Low")</f>
        <v>Low</v>
      </c>
    </row>
    <row r="1018" spans="1:11" x14ac:dyDescent="0.35">
      <c r="A1018">
        <v>19</v>
      </c>
      <c r="B1018" t="s">
        <v>2</v>
      </c>
      <c r="C1018">
        <v>24.605</v>
      </c>
      <c r="D1018">
        <v>1</v>
      </c>
      <c r="E1018" t="s">
        <v>4</v>
      </c>
      <c r="F1018" t="s">
        <v>0</v>
      </c>
      <c r="G1018" s="2">
        <v>2709.24395</v>
      </c>
      <c r="H1018" s="1" t="str">
        <f>IF(A1018&lt;31,"18-30",IF(A1018&lt;46,"31-45",IF(A1018&lt;61,"46-60","60+")))</f>
        <v>18-30</v>
      </c>
      <c r="I1018" t="str">
        <f>IF(C1018&lt;18.5,"Underweight",IF(C1018&lt;25,"Normal",IF(C1018&lt;30,"Overweight","Obese")))</f>
        <v>Normal</v>
      </c>
      <c r="J1018">
        <f>IF(E1018="yes",1,0)</f>
        <v>0</v>
      </c>
      <c r="K1018" t="str">
        <f>IF(G1018&gt;15000,"High","Low")</f>
        <v>Low</v>
      </c>
    </row>
    <row r="1019" spans="1:11" x14ac:dyDescent="0.35">
      <c r="A1019">
        <v>26</v>
      </c>
      <c r="B1019" t="s">
        <v>2</v>
      </c>
      <c r="C1019">
        <v>34.200000000000003</v>
      </c>
      <c r="D1019">
        <v>2</v>
      </c>
      <c r="E1019" t="s">
        <v>4</v>
      </c>
      <c r="F1019" t="s">
        <v>3</v>
      </c>
      <c r="G1019" s="2">
        <v>3987.9259999999999</v>
      </c>
      <c r="H1019" s="1" t="str">
        <f>IF(A1019&lt;31,"18-30",IF(A1019&lt;46,"31-45",IF(A1019&lt;61,"46-60","60+")))</f>
        <v>18-30</v>
      </c>
      <c r="I1019" t="str">
        <f>IF(C1019&lt;18.5,"Underweight",IF(C1019&lt;25,"Normal",IF(C1019&lt;30,"Overweight","Obese")))</f>
        <v>Obese</v>
      </c>
      <c r="J1019">
        <f>IF(E1019="yes",1,0)</f>
        <v>0</v>
      </c>
      <c r="K1019" t="str">
        <f>IF(G1019&gt;15000,"High","Low")</f>
        <v>Low</v>
      </c>
    </row>
    <row r="1020" spans="1:11" x14ac:dyDescent="0.35">
      <c r="A1020">
        <v>54</v>
      </c>
      <c r="B1020" t="s">
        <v>2</v>
      </c>
      <c r="C1020">
        <v>35.814999999999998</v>
      </c>
      <c r="D1020">
        <v>3</v>
      </c>
      <c r="E1020" t="s">
        <v>4</v>
      </c>
      <c r="F1020" t="s">
        <v>0</v>
      </c>
      <c r="G1020" s="2">
        <v>12495.290849999999</v>
      </c>
      <c r="H1020" s="1" t="str">
        <f>IF(A1020&lt;31,"18-30",IF(A1020&lt;46,"31-45",IF(A1020&lt;61,"46-60","60+")))</f>
        <v>46-60</v>
      </c>
      <c r="I1020" t="str">
        <f>IF(C1020&lt;18.5,"Underweight",IF(C1020&lt;25,"Normal",IF(C1020&lt;30,"Overweight","Obese")))</f>
        <v>Obese</v>
      </c>
      <c r="J1020">
        <f>IF(E1020="yes",1,0)</f>
        <v>0</v>
      </c>
      <c r="K1020" t="str">
        <f>IF(G1020&gt;15000,"High","Low")</f>
        <v>Low</v>
      </c>
    </row>
    <row r="1021" spans="1:11" x14ac:dyDescent="0.35">
      <c r="A1021">
        <v>21</v>
      </c>
      <c r="B1021" t="s">
        <v>2</v>
      </c>
      <c r="C1021">
        <v>32.68</v>
      </c>
      <c r="D1021">
        <v>2</v>
      </c>
      <c r="E1021" t="s">
        <v>4</v>
      </c>
      <c r="F1021" t="s">
        <v>0</v>
      </c>
      <c r="G1021" s="2">
        <v>26018.950519999999</v>
      </c>
      <c r="H1021" s="1" t="str">
        <f>IF(A1021&lt;31,"18-30",IF(A1021&lt;46,"31-45",IF(A1021&lt;61,"46-60","60+")))</f>
        <v>18-30</v>
      </c>
      <c r="I1021" t="str">
        <f>IF(C1021&lt;18.5,"Underweight",IF(C1021&lt;25,"Normal",IF(C1021&lt;30,"Overweight","Obese")))</f>
        <v>Obese</v>
      </c>
      <c r="J1021">
        <f>IF(E1021="yes",1,0)</f>
        <v>0</v>
      </c>
      <c r="K1021" t="str">
        <f>IF(G1021&gt;15000,"High","Low")</f>
        <v>High</v>
      </c>
    </row>
    <row r="1022" spans="1:11" x14ac:dyDescent="0.35">
      <c r="A1022">
        <v>51</v>
      </c>
      <c r="B1022" t="s">
        <v>7</v>
      </c>
      <c r="C1022">
        <v>37</v>
      </c>
      <c r="D1022">
        <v>0</v>
      </c>
      <c r="E1022" t="s">
        <v>4</v>
      </c>
      <c r="F1022" t="s">
        <v>3</v>
      </c>
      <c r="G1022" s="2">
        <v>8798.5930000000008</v>
      </c>
      <c r="H1022" s="1" t="str">
        <f>IF(A1022&lt;31,"18-30",IF(A1022&lt;46,"31-45",IF(A1022&lt;61,"46-60","60+")))</f>
        <v>46-60</v>
      </c>
      <c r="I1022" t="str">
        <f>IF(C1022&lt;18.5,"Underweight",IF(C1022&lt;25,"Normal",IF(C1022&lt;30,"Overweight","Obese")))</f>
        <v>Obese</v>
      </c>
      <c r="J1022">
        <f>IF(E1022="yes",1,0)</f>
        <v>0</v>
      </c>
      <c r="K1022" t="str">
        <f>IF(G1022&gt;15000,"High","Low")</f>
        <v>Low</v>
      </c>
    </row>
    <row r="1023" spans="1:11" x14ac:dyDescent="0.35">
      <c r="A1023">
        <v>22</v>
      </c>
      <c r="B1023" t="s">
        <v>2</v>
      </c>
      <c r="C1023">
        <v>31.02</v>
      </c>
      <c r="D1023">
        <v>3</v>
      </c>
      <c r="E1023" t="s">
        <v>1</v>
      </c>
      <c r="F1023" t="s">
        <v>5</v>
      </c>
      <c r="G1023" s="2">
        <v>35595.589800000002</v>
      </c>
      <c r="H1023" s="1" t="str">
        <f>IF(A1023&lt;31,"18-30",IF(A1023&lt;46,"31-45",IF(A1023&lt;61,"46-60","60+")))</f>
        <v>18-30</v>
      </c>
      <c r="I1023" t="str">
        <f>IF(C1023&lt;18.5,"Underweight",IF(C1023&lt;25,"Normal",IF(C1023&lt;30,"Overweight","Obese")))</f>
        <v>Obese</v>
      </c>
      <c r="J1023">
        <f>IF(E1023="yes",1,0)</f>
        <v>1</v>
      </c>
      <c r="K1023" t="str">
        <f>IF(G1023&gt;15000,"High","Low")</f>
        <v>High</v>
      </c>
    </row>
    <row r="1024" spans="1:11" x14ac:dyDescent="0.35">
      <c r="A1024">
        <v>47</v>
      </c>
      <c r="B1024" t="s">
        <v>7</v>
      </c>
      <c r="C1024">
        <v>36.08</v>
      </c>
      <c r="D1024">
        <v>1</v>
      </c>
      <c r="E1024" t="s">
        <v>1</v>
      </c>
      <c r="F1024" t="s">
        <v>5</v>
      </c>
      <c r="G1024" s="2">
        <v>42211.138200000001</v>
      </c>
      <c r="H1024" s="1" t="str">
        <f>IF(A1024&lt;31,"18-30",IF(A1024&lt;46,"31-45",IF(A1024&lt;61,"46-60","60+")))</f>
        <v>46-60</v>
      </c>
      <c r="I1024" t="str">
        <f>IF(C1024&lt;18.5,"Underweight",IF(C1024&lt;25,"Normal",IF(C1024&lt;30,"Overweight","Obese")))</f>
        <v>Obese</v>
      </c>
      <c r="J1024">
        <f>IF(E1024="yes",1,0)</f>
        <v>1</v>
      </c>
      <c r="K1024" t="str">
        <f>IF(G1024&gt;15000,"High","Low")</f>
        <v>High</v>
      </c>
    </row>
    <row r="1025" spans="1:11" x14ac:dyDescent="0.35">
      <c r="A1025">
        <v>18</v>
      </c>
      <c r="B1025" t="s">
        <v>7</v>
      </c>
      <c r="C1025">
        <v>23.32</v>
      </c>
      <c r="D1025">
        <v>1</v>
      </c>
      <c r="E1025" t="s">
        <v>4</v>
      </c>
      <c r="F1025" t="s">
        <v>5</v>
      </c>
      <c r="G1025" s="2">
        <v>1711.0268000000001</v>
      </c>
      <c r="H1025" s="1" t="str">
        <f>IF(A1025&lt;31,"18-30",IF(A1025&lt;46,"31-45",IF(A1025&lt;61,"46-60","60+")))</f>
        <v>18-30</v>
      </c>
      <c r="I1025" t="str">
        <f>IF(C1025&lt;18.5,"Underweight",IF(C1025&lt;25,"Normal",IF(C1025&lt;30,"Overweight","Obese")))</f>
        <v>Normal</v>
      </c>
      <c r="J1025">
        <f>IF(E1025="yes",1,0)</f>
        <v>0</v>
      </c>
      <c r="K1025" t="str">
        <f>IF(G1025&gt;15000,"High","Low")</f>
        <v>Low</v>
      </c>
    </row>
    <row r="1026" spans="1:11" x14ac:dyDescent="0.35">
      <c r="A1026">
        <v>47</v>
      </c>
      <c r="B1026" t="s">
        <v>2</v>
      </c>
      <c r="C1026">
        <v>45.32</v>
      </c>
      <c r="D1026">
        <v>1</v>
      </c>
      <c r="E1026" t="s">
        <v>4</v>
      </c>
      <c r="F1026" t="s">
        <v>5</v>
      </c>
      <c r="G1026" s="2">
        <v>8569.8618000000006</v>
      </c>
      <c r="H1026" s="1" t="str">
        <f>IF(A1026&lt;31,"18-30",IF(A1026&lt;46,"31-45",IF(A1026&lt;61,"46-60","60+")))</f>
        <v>46-60</v>
      </c>
      <c r="I1026" t="str">
        <f>IF(C1026&lt;18.5,"Underweight",IF(C1026&lt;25,"Normal",IF(C1026&lt;30,"Overweight","Obese")))</f>
        <v>Obese</v>
      </c>
      <c r="J1026">
        <f>IF(E1026="yes",1,0)</f>
        <v>0</v>
      </c>
      <c r="K1026" t="str">
        <f>IF(G1026&gt;15000,"High","Low")</f>
        <v>Low</v>
      </c>
    </row>
    <row r="1027" spans="1:11" x14ac:dyDescent="0.35">
      <c r="A1027">
        <v>21</v>
      </c>
      <c r="B1027" t="s">
        <v>2</v>
      </c>
      <c r="C1027">
        <v>34.6</v>
      </c>
      <c r="D1027">
        <v>0</v>
      </c>
      <c r="E1027" t="s">
        <v>4</v>
      </c>
      <c r="F1027" t="s">
        <v>3</v>
      </c>
      <c r="G1027" s="2">
        <v>2020.1769999999999</v>
      </c>
      <c r="H1027" s="1" t="str">
        <f>IF(A1027&lt;31,"18-30",IF(A1027&lt;46,"31-45",IF(A1027&lt;61,"46-60","60+")))</f>
        <v>18-30</v>
      </c>
      <c r="I1027" t="str">
        <f>IF(C1027&lt;18.5,"Underweight",IF(C1027&lt;25,"Normal",IF(C1027&lt;30,"Overweight","Obese")))</f>
        <v>Obese</v>
      </c>
      <c r="J1027">
        <f>IF(E1027="yes",1,0)</f>
        <v>0</v>
      </c>
      <c r="K1027" t="str">
        <f>IF(G1027&gt;15000,"High","Low")</f>
        <v>Low</v>
      </c>
    </row>
    <row r="1028" spans="1:11" x14ac:dyDescent="0.35">
      <c r="A1028">
        <v>19</v>
      </c>
      <c r="B1028" t="s">
        <v>7</v>
      </c>
      <c r="C1028">
        <v>26.03</v>
      </c>
      <c r="D1028">
        <v>1</v>
      </c>
      <c r="E1028" t="s">
        <v>1</v>
      </c>
      <c r="F1028" t="s">
        <v>0</v>
      </c>
      <c r="G1028" s="2">
        <v>16450.894700000001</v>
      </c>
      <c r="H1028" s="1" t="str">
        <f>IF(A1028&lt;31,"18-30",IF(A1028&lt;46,"31-45",IF(A1028&lt;61,"46-60","60+")))</f>
        <v>18-30</v>
      </c>
      <c r="I1028" t="str">
        <f>IF(C1028&lt;18.5,"Underweight",IF(C1028&lt;25,"Normal",IF(C1028&lt;30,"Overweight","Obese")))</f>
        <v>Overweight</v>
      </c>
      <c r="J1028">
        <f>IF(E1028="yes",1,0)</f>
        <v>1</v>
      </c>
      <c r="K1028" t="str">
        <f>IF(G1028&gt;15000,"High","Low")</f>
        <v>High</v>
      </c>
    </row>
    <row r="1029" spans="1:11" x14ac:dyDescent="0.35">
      <c r="A1029">
        <v>23</v>
      </c>
      <c r="B1029" t="s">
        <v>7</v>
      </c>
      <c r="C1029">
        <v>18.715</v>
      </c>
      <c r="D1029">
        <v>0</v>
      </c>
      <c r="E1029" t="s">
        <v>4</v>
      </c>
      <c r="F1029" t="s">
        <v>0</v>
      </c>
      <c r="G1029" s="2">
        <v>21595.382290000001</v>
      </c>
      <c r="H1029" s="1" t="str">
        <f>IF(A1029&lt;31,"18-30",IF(A1029&lt;46,"31-45",IF(A1029&lt;61,"46-60","60+")))</f>
        <v>18-30</v>
      </c>
      <c r="I1029" t="str">
        <f>IF(C1029&lt;18.5,"Underweight",IF(C1029&lt;25,"Normal",IF(C1029&lt;30,"Overweight","Obese")))</f>
        <v>Normal</v>
      </c>
      <c r="J1029">
        <f>IF(E1029="yes",1,0)</f>
        <v>0</v>
      </c>
      <c r="K1029" t="str">
        <f>IF(G1029&gt;15000,"High","Low")</f>
        <v>High</v>
      </c>
    </row>
    <row r="1030" spans="1:11" x14ac:dyDescent="0.35">
      <c r="A1030">
        <v>54</v>
      </c>
      <c r="B1030" t="s">
        <v>7</v>
      </c>
      <c r="C1030">
        <v>31.6</v>
      </c>
      <c r="D1030">
        <v>0</v>
      </c>
      <c r="E1030" t="s">
        <v>4</v>
      </c>
      <c r="F1030" t="s">
        <v>3</v>
      </c>
      <c r="G1030" s="2">
        <v>9850.4320000000007</v>
      </c>
      <c r="H1030" s="1" t="str">
        <f>IF(A1030&lt;31,"18-30",IF(A1030&lt;46,"31-45",IF(A1030&lt;61,"46-60","60+")))</f>
        <v>46-60</v>
      </c>
      <c r="I1030" t="str">
        <f>IF(C1030&lt;18.5,"Underweight",IF(C1030&lt;25,"Normal",IF(C1030&lt;30,"Overweight","Obese")))</f>
        <v>Obese</v>
      </c>
      <c r="J1030">
        <f>IF(E1030="yes",1,0)</f>
        <v>0</v>
      </c>
      <c r="K1030" t="str">
        <f>IF(G1030&gt;15000,"High","Low")</f>
        <v>Low</v>
      </c>
    </row>
    <row r="1031" spans="1:11" x14ac:dyDescent="0.35">
      <c r="A1031">
        <v>37</v>
      </c>
      <c r="B1031" t="s">
        <v>2</v>
      </c>
      <c r="C1031">
        <v>17.29</v>
      </c>
      <c r="D1031">
        <v>2</v>
      </c>
      <c r="E1031" t="s">
        <v>4</v>
      </c>
      <c r="F1031" t="s">
        <v>6</v>
      </c>
      <c r="G1031" s="2">
        <v>6877.9800999999998</v>
      </c>
      <c r="H1031" s="1" t="str">
        <f>IF(A1031&lt;31,"18-30",IF(A1031&lt;46,"31-45",IF(A1031&lt;61,"46-60","60+")))</f>
        <v>31-45</v>
      </c>
      <c r="I1031" t="str">
        <f>IF(C1031&lt;18.5,"Underweight",IF(C1031&lt;25,"Normal",IF(C1031&lt;30,"Overweight","Obese")))</f>
        <v>Underweight</v>
      </c>
      <c r="J1031">
        <f>IF(E1031="yes",1,0)</f>
        <v>0</v>
      </c>
      <c r="K1031" t="str">
        <f>IF(G1031&gt;15000,"High","Low")</f>
        <v>Low</v>
      </c>
    </row>
    <row r="1032" spans="1:11" x14ac:dyDescent="0.35">
      <c r="A1032">
        <v>46</v>
      </c>
      <c r="B1032" t="s">
        <v>2</v>
      </c>
      <c r="C1032">
        <v>23.655000000000001</v>
      </c>
      <c r="D1032">
        <v>1</v>
      </c>
      <c r="E1032" t="s">
        <v>1</v>
      </c>
      <c r="F1032" t="s">
        <v>0</v>
      </c>
      <c r="G1032" s="2">
        <v>21677.283449999999</v>
      </c>
      <c r="H1032" s="1" t="str">
        <f>IF(A1032&lt;31,"18-30",IF(A1032&lt;46,"31-45",IF(A1032&lt;61,"46-60","60+")))</f>
        <v>46-60</v>
      </c>
      <c r="I1032" t="str">
        <f>IF(C1032&lt;18.5,"Underweight",IF(C1032&lt;25,"Normal",IF(C1032&lt;30,"Overweight","Obese")))</f>
        <v>Normal</v>
      </c>
      <c r="J1032">
        <f>IF(E1032="yes",1,0)</f>
        <v>1</v>
      </c>
      <c r="K1032" t="str">
        <f>IF(G1032&gt;15000,"High","Low")</f>
        <v>High</v>
      </c>
    </row>
    <row r="1033" spans="1:11" x14ac:dyDescent="0.35">
      <c r="A1033">
        <v>55</v>
      </c>
      <c r="B1033" t="s">
        <v>2</v>
      </c>
      <c r="C1033">
        <v>35.200000000000003</v>
      </c>
      <c r="D1033">
        <v>0</v>
      </c>
      <c r="E1033" t="s">
        <v>1</v>
      </c>
      <c r="F1033" t="s">
        <v>5</v>
      </c>
      <c r="G1033" s="2">
        <v>44423.803</v>
      </c>
      <c r="H1033" s="1" t="str">
        <f>IF(A1033&lt;31,"18-30",IF(A1033&lt;46,"31-45",IF(A1033&lt;61,"46-60","60+")))</f>
        <v>46-60</v>
      </c>
      <c r="I1033" t="str">
        <f>IF(C1033&lt;18.5,"Underweight",IF(C1033&lt;25,"Normal",IF(C1033&lt;30,"Overweight","Obese")))</f>
        <v>Obese</v>
      </c>
      <c r="J1033">
        <f>IF(E1033="yes",1,0)</f>
        <v>1</v>
      </c>
      <c r="K1033" t="str">
        <f>IF(G1033&gt;15000,"High","Low")</f>
        <v>High</v>
      </c>
    </row>
    <row r="1034" spans="1:11" x14ac:dyDescent="0.35">
      <c r="A1034">
        <v>30</v>
      </c>
      <c r="B1034" t="s">
        <v>2</v>
      </c>
      <c r="C1034">
        <v>27.93</v>
      </c>
      <c r="D1034">
        <v>0</v>
      </c>
      <c r="E1034" t="s">
        <v>4</v>
      </c>
      <c r="F1034" t="s">
        <v>6</v>
      </c>
      <c r="G1034" s="2">
        <v>4137.5227000000004</v>
      </c>
      <c r="H1034" s="1" t="str">
        <f>IF(A1034&lt;31,"18-30",IF(A1034&lt;46,"31-45",IF(A1034&lt;61,"46-60","60+")))</f>
        <v>18-30</v>
      </c>
      <c r="I1034" t="str">
        <f>IF(C1034&lt;18.5,"Underweight",IF(C1034&lt;25,"Normal",IF(C1034&lt;30,"Overweight","Obese")))</f>
        <v>Overweight</v>
      </c>
      <c r="J1034">
        <f>IF(E1034="yes",1,0)</f>
        <v>0</v>
      </c>
      <c r="K1034" t="str">
        <f>IF(G1034&gt;15000,"High","Low")</f>
        <v>Low</v>
      </c>
    </row>
    <row r="1035" spans="1:11" x14ac:dyDescent="0.35">
      <c r="A1035">
        <v>18</v>
      </c>
      <c r="B1035" t="s">
        <v>7</v>
      </c>
      <c r="C1035">
        <v>21.565000000000001</v>
      </c>
      <c r="D1035">
        <v>0</v>
      </c>
      <c r="E1035" t="s">
        <v>1</v>
      </c>
      <c r="F1035" t="s">
        <v>6</v>
      </c>
      <c r="G1035" s="2">
        <v>13747.87235</v>
      </c>
      <c r="H1035" s="1" t="str">
        <f>IF(A1035&lt;31,"18-30",IF(A1035&lt;46,"31-45",IF(A1035&lt;61,"46-60","60+")))</f>
        <v>18-30</v>
      </c>
      <c r="I1035" t="str">
        <f>IF(C1035&lt;18.5,"Underweight",IF(C1035&lt;25,"Normal",IF(C1035&lt;30,"Overweight","Obese")))</f>
        <v>Normal</v>
      </c>
      <c r="J1035">
        <f>IF(E1035="yes",1,0)</f>
        <v>1</v>
      </c>
      <c r="K1035" t="str">
        <f>IF(G1035&gt;15000,"High","Low")</f>
        <v>Low</v>
      </c>
    </row>
    <row r="1036" spans="1:11" x14ac:dyDescent="0.35">
      <c r="A1036">
        <v>61</v>
      </c>
      <c r="B1036" t="s">
        <v>7</v>
      </c>
      <c r="C1036">
        <v>38.380000000000003</v>
      </c>
      <c r="D1036">
        <v>0</v>
      </c>
      <c r="E1036" t="s">
        <v>4</v>
      </c>
      <c r="F1036" t="s">
        <v>0</v>
      </c>
      <c r="G1036" s="2">
        <v>12950.0712</v>
      </c>
      <c r="H1036" s="1" t="str">
        <f>IF(A1036&lt;31,"18-30",IF(A1036&lt;46,"31-45",IF(A1036&lt;61,"46-60","60+")))</f>
        <v>60+</v>
      </c>
      <c r="I1036" t="str">
        <f>IF(C1036&lt;18.5,"Underweight",IF(C1036&lt;25,"Normal",IF(C1036&lt;30,"Overweight","Obese")))</f>
        <v>Obese</v>
      </c>
      <c r="J1036">
        <f>IF(E1036="yes",1,0)</f>
        <v>0</v>
      </c>
      <c r="K1036" t="str">
        <f>IF(G1036&gt;15000,"High","Low")</f>
        <v>Low</v>
      </c>
    </row>
    <row r="1037" spans="1:11" x14ac:dyDescent="0.35">
      <c r="A1037">
        <v>54</v>
      </c>
      <c r="B1037" t="s">
        <v>2</v>
      </c>
      <c r="C1037">
        <v>23</v>
      </c>
      <c r="D1037">
        <v>3</v>
      </c>
      <c r="E1037" t="s">
        <v>4</v>
      </c>
      <c r="F1037" t="s">
        <v>3</v>
      </c>
      <c r="G1037" s="2">
        <v>12094.477999999999</v>
      </c>
      <c r="H1037" s="1" t="str">
        <f>IF(A1037&lt;31,"18-30",IF(A1037&lt;46,"31-45",IF(A1037&lt;61,"46-60","60+")))</f>
        <v>46-60</v>
      </c>
      <c r="I1037" t="str">
        <f>IF(C1037&lt;18.5,"Underweight",IF(C1037&lt;25,"Normal",IF(C1037&lt;30,"Overweight","Obese")))</f>
        <v>Normal</v>
      </c>
      <c r="J1037">
        <f>IF(E1037="yes",1,0)</f>
        <v>0</v>
      </c>
      <c r="K1037" t="str">
        <f>IF(G1037&gt;15000,"High","Low")</f>
        <v>Low</v>
      </c>
    </row>
    <row r="1038" spans="1:11" x14ac:dyDescent="0.35">
      <c r="A1038">
        <v>22</v>
      </c>
      <c r="B1038" t="s">
        <v>7</v>
      </c>
      <c r="C1038">
        <v>37.07</v>
      </c>
      <c r="D1038">
        <v>2</v>
      </c>
      <c r="E1038" t="s">
        <v>1</v>
      </c>
      <c r="F1038" t="s">
        <v>5</v>
      </c>
      <c r="G1038" s="2">
        <v>37484.4493</v>
      </c>
      <c r="H1038" s="1" t="str">
        <f>IF(A1038&lt;31,"18-30",IF(A1038&lt;46,"31-45",IF(A1038&lt;61,"46-60","60+")))</f>
        <v>18-30</v>
      </c>
      <c r="I1038" t="str">
        <f>IF(C1038&lt;18.5,"Underweight",IF(C1038&lt;25,"Normal",IF(C1038&lt;30,"Overweight","Obese")))</f>
        <v>Obese</v>
      </c>
      <c r="J1038">
        <f>IF(E1038="yes",1,0)</f>
        <v>1</v>
      </c>
      <c r="K1038" t="str">
        <f>IF(G1038&gt;15000,"High","Low")</f>
        <v>High</v>
      </c>
    </row>
    <row r="1039" spans="1:11" x14ac:dyDescent="0.35">
      <c r="A1039">
        <v>45</v>
      </c>
      <c r="B1039" t="s">
        <v>2</v>
      </c>
      <c r="C1039">
        <v>30.495000000000001</v>
      </c>
      <c r="D1039">
        <v>1</v>
      </c>
      <c r="E1039" t="s">
        <v>1</v>
      </c>
      <c r="F1039" t="s">
        <v>0</v>
      </c>
      <c r="G1039" s="2">
        <v>39725.518049999999</v>
      </c>
      <c r="H1039" s="1" t="str">
        <f>IF(A1039&lt;31,"18-30",IF(A1039&lt;46,"31-45",IF(A1039&lt;61,"46-60","60+")))</f>
        <v>31-45</v>
      </c>
      <c r="I1039" t="str">
        <f>IF(C1039&lt;18.5,"Underweight",IF(C1039&lt;25,"Normal",IF(C1039&lt;30,"Overweight","Obese")))</f>
        <v>Obese</v>
      </c>
      <c r="J1039">
        <f>IF(E1039="yes",1,0)</f>
        <v>1</v>
      </c>
      <c r="K1039" t="str">
        <f>IF(G1039&gt;15000,"High","Low")</f>
        <v>High</v>
      </c>
    </row>
    <row r="1040" spans="1:11" x14ac:dyDescent="0.35">
      <c r="A1040">
        <v>22</v>
      </c>
      <c r="B1040" t="s">
        <v>7</v>
      </c>
      <c r="C1040">
        <v>28.88</v>
      </c>
      <c r="D1040">
        <v>0</v>
      </c>
      <c r="E1040" t="s">
        <v>4</v>
      </c>
      <c r="F1040" t="s">
        <v>6</v>
      </c>
      <c r="G1040" s="2">
        <v>2250.8352</v>
      </c>
      <c r="H1040" s="1" t="str">
        <f>IF(A1040&lt;31,"18-30",IF(A1040&lt;46,"31-45",IF(A1040&lt;61,"46-60","60+")))</f>
        <v>18-30</v>
      </c>
      <c r="I1040" t="str">
        <f>IF(C1040&lt;18.5,"Underweight",IF(C1040&lt;25,"Normal",IF(C1040&lt;30,"Overweight","Obese")))</f>
        <v>Overweight</v>
      </c>
      <c r="J1040">
        <f>IF(E1040="yes",1,0)</f>
        <v>0</v>
      </c>
      <c r="K1040" t="str">
        <f>IF(G1040&gt;15000,"High","Low")</f>
        <v>Low</v>
      </c>
    </row>
    <row r="1041" spans="1:11" x14ac:dyDescent="0.35">
      <c r="A1041">
        <v>19</v>
      </c>
      <c r="B1041" t="s">
        <v>7</v>
      </c>
      <c r="C1041">
        <v>27.265000000000001</v>
      </c>
      <c r="D1041">
        <v>2</v>
      </c>
      <c r="E1041" t="s">
        <v>4</v>
      </c>
      <c r="F1041" t="s">
        <v>0</v>
      </c>
      <c r="G1041" s="2">
        <v>22493.659640000002</v>
      </c>
      <c r="H1041" s="1" t="str">
        <f>IF(A1041&lt;31,"18-30",IF(A1041&lt;46,"31-45",IF(A1041&lt;61,"46-60","60+")))</f>
        <v>18-30</v>
      </c>
      <c r="I1041" t="str">
        <f>IF(C1041&lt;18.5,"Underweight",IF(C1041&lt;25,"Normal",IF(C1041&lt;30,"Overweight","Obese")))</f>
        <v>Overweight</v>
      </c>
      <c r="J1041">
        <f>IF(E1041="yes",1,0)</f>
        <v>0</v>
      </c>
      <c r="K1041" t="str">
        <f>IF(G1041&gt;15000,"High","Low")</f>
        <v>High</v>
      </c>
    </row>
    <row r="1042" spans="1:11" x14ac:dyDescent="0.35">
      <c r="A1042">
        <v>35</v>
      </c>
      <c r="B1042" t="s">
        <v>2</v>
      </c>
      <c r="C1042">
        <v>28.024999999999999</v>
      </c>
      <c r="D1042">
        <v>0</v>
      </c>
      <c r="E1042" t="s">
        <v>1</v>
      </c>
      <c r="F1042" t="s">
        <v>0</v>
      </c>
      <c r="G1042" s="2">
        <v>20234.854749999999</v>
      </c>
      <c r="H1042" s="1" t="str">
        <f>IF(A1042&lt;31,"18-30",IF(A1042&lt;46,"31-45",IF(A1042&lt;61,"46-60","60+")))</f>
        <v>31-45</v>
      </c>
      <c r="I1042" t="str">
        <f>IF(C1042&lt;18.5,"Underweight",IF(C1042&lt;25,"Normal",IF(C1042&lt;30,"Overweight","Obese")))</f>
        <v>Overweight</v>
      </c>
      <c r="J1042">
        <f>IF(E1042="yes",1,0)</f>
        <v>1</v>
      </c>
      <c r="K1042" t="str">
        <f>IF(G1042&gt;15000,"High","Low")</f>
        <v>High</v>
      </c>
    </row>
    <row r="1043" spans="1:11" x14ac:dyDescent="0.35">
      <c r="A1043">
        <v>18</v>
      </c>
      <c r="B1043" t="s">
        <v>7</v>
      </c>
      <c r="C1043">
        <v>23.085000000000001</v>
      </c>
      <c r="D1043">
        <v>0</v>
      </c>
      <c r="E1043" t="s">
        <v>4</v>
      </c>
      <c r="F1043" t="s">
        <v>6</v>
      </c>
      <c r="G1043" s="2">
        <v>1704.7001499999999</v>
      </c>
      <c r="H1043" s="1" t="str">
        <f>IF(A1043&lt;31,"18-30",IF(A1043&lt;46,"31-45",IF(A1043&lt;61,"46-60","60+")))</f>
        <v>18-30</v>
      </c>
      <c r="I1043" t="str">
        <f>IF(C1043&lt;18.5,"Underweight",IF(C1043&lt;25,"Normal",IF(C1043&lt;30,"Overweight","Obese")))</f>
        <v>Normal</v>
      </c>
      <c r="J1043">
        <f>IF(E1043="yes",1,0)</f>
        <v>0</v>
      </c>
      <c r="K1043" t="str">
        <f>IF(G1043&gt;15000,"High","Low")</f>
        <v>Low</v>
      </c>
    </row>
    <row r="1044" spans="1:11" x14ac:dyDescent="0.35">
      <c r="A1044">
        <v>20</v>
      </c>
      <c r="B1044" t="s">
        <v>7</v>
      </c>
      <c r="C1044">
        <v>30.684999999999999</v>
      </c>
      <c r="D1044">
        <v>0</v>
      </c>
      <c r="E1044" t="s">
        <v>1</v>
      </c>
      <c r="F1044" t="s">
        <v>6</v>
      </c>
      <c r="G1044" s="2">
        <v>33475.817150000003</v>
      </c>
      <c r="H1044" s="1" t="str">
        <f>IF(A1044&lt;31,"18-30",IF(A1044&lt;46,"31-45",IF(A1044&lt;61,"46-60","60+")))</f>
        <v>18-30</v>
      </c>
      <c r="I1044" t="str">
        <f>IF(C1044&lt;18.5,"Underweight",IF(C1044&lt;25,"Normal",IF(C1044&lt;30,"Overweight","Obese")))</f>
        <v>Obese</v>
      </c>
      <c r="J1044">
        <f>IF(E1044="yes",1,0)</f>
        <v>1</v>
      </c>
      <c r="K1044" t="str">
        <f>IF(G1044&gt;15000,"High","Low")</f>
        <v>High</v>
      </c>
    </row>
    <row r="1045" spans="1:11" x14ac:dyDescent="0.35">
      <c r="A1045">
        <v>28</v>
      </c>
      <c r="B1045" t="s">
        <v>2</v>
      </c>
      <c r="C1045">
        <v>25.8</v>
      </c>
      <c r="D1045">
        <v>0</v>
      </c>
      <c r="E1045" t="s">
        <v>4</v>
      </c>
      <c r="F1045" t="s">
        <v>3</v>
      </c>
      <c r="G1045" s="2">
        <v>3161.4540000000002</v>
      </c>
      <c r="H1045" s="1" t="str">
        <f>IF(A1045&lt;31,"18-30",IF(A1045&lt;46,"31-45",IF(A1045&lt;61,"46-60","60+")))</f>
        <v>18-30</v>
      </c>
      <c r="I1045" t="str">
        <f>IF(C1045&lt;18.5,"Underweight",IF(C1045&lt;25,"Normal",IF(C1045&lt;30,"Overweight","Obese")))</f>
        <v>Overweight</v>
      </c>
      <c r="J1045">
        <f>IF(E1045="yes",1,0)</f>
        <v>0</v>
      </c>
      <c r="K1045" t="str">
        <f>IF(G1045&gt;15000,"High","Low")</f>
        <v>Low</v>
      </c>
    </row>
    <row r="1046" spans="1:11" x14ac:dyDescent="0.35">
      <c r="A1046">
        <v>55</v>
      </c>
      <c r="B1046" t="s">
        <v>7</v>
      </c>
      <c r="C1046">
        <v>35.244999999999997</v>
      </c>
      <c r="D1046">
        <v>1</v>
      </c>
      <c r="E1046" t="s">
        <v>4</v>
      </c>
      <c r="F1046" t="s">
        <v>6</v>
      </c>
      <c r="G1046" s="2">
        <v>11394.065549999999</v>
      </c>
      <c r="H1046" s="1" t="str">
        <f>IF(A1046&lt;31,"18-30",IF(A1046&lt;46,"31-45",IF(A1046&lt;61,"46-60","60+")))</f>
        <v>46-60</v>
      </c>
      <c r="I1046" t="str">
        <f>IF(C1046&lt;18.5,"Underweight",IF(C1046&lt;25,"Normal",IF(C1046&lt;30,"Overweight","Obese")))</f>
        <v>Obese</v>
      </c>
      <c r="J1046">
        <f>IF(E1046="yes",1,0)</f>
        <v>0</v>
      </c>
      <c r="K1046" t="str">
        <f>IF(G1046&gt;15000,"High","Low")</f>
        <v>Low</v>
      </c>
    </row>
    <row r="1047" spans="1:11" x14ac:dyDescent="0.35">
      <c r="A1047">
        <v>43</v>
      </c>
      <c r="B1047" t="s">
        <v>2</v>
      </c>
      <c r="C1047">
        <v>24.7</v>
      </c>
      <c r="D1047">
        <v>2</v>
      </c>
      <c r="E1047" t="s">
        <v>1</v>
      </c>
      <c r="F1047" t="s">
        <v>0</v>
      </c>
      <c r="G1047" s="2">
        <v>21880.82</v>
      </c>
      <c r="H1047" s="1" t="str">
        <f>IF(A1047&lt;31,"18-30",IF(A1047&lt;46,"31-45",IF(A1047&lt;61,"46-60","60+")))</f>
        <v>31-45</v>
      </c>
      <c r="I1047" t="str">
        <f>IF(C1047&lt;18.5,"Underweight",IF(C1047&lt;25,"Normal",IF(C1047&lt;30,"Overweight","Obese")))</f>
        <v>Normal</v>
      </c>
      <c r="J1047">
        <f>IF(E1047="yes",1,0)</f>
        <v>1</v>
      </c>
      <c r="K1047" t="str">
        <f>IF(G1047&gt;15000,"High","Low")</f>
        <v>High</v>
      </c>
    </row>
    <row r="1048" spans="1:11" x14ac:dyDescent="0.35">
      <c r="A1048">
        <v>43</v>
      </c>
      <c r="B1048" t="s">
        <v>2</v>
      </c>
      <c r="C1048">
        <v>25.08</v>
      </c>
      <c r="D1048">
        <v>0</v>
      </c>
      <c r="E1048" t="s">
        <v>4</v>
      </c>
      <c r="F1048" t="s">
        <v>6</v>
      </c>
      <c r="G1048" s="2">
        <v>7325.0482000000002</v>
      </c>
      <c r="H1048" s="1" t="str">
        <f>IF(A1048&lt;31,"18-30",IF(A1048&lt;46,"31-45",IF(A1048&lt;61,"46-60","60+")))</f>
        <v>31-45</v>
      </c>
      <c r="I1048" t="str">
        <f>IF(C1048&lt;18.5,"Underweight",IF(C1048&lt;25,"Normal",IF(C1048&lt;30,"Overweight","Obese")))</f>
        <v>Overweight</v>
      </c>
      <c r="J1048">
        <f>IF(E1048="yes",1,0)</f>
        <v>0</v>
      </c>
      <c r="K1048" t="str">
        <f>IF(G1048&gt;15000,"High","Low")</f>
        <v>Low</v>
      </c>
    </row>
    <row r="1049" spans="1:11" x14ac:dyDescent="0.35">
      <c r="A1049">
        <v>22</v>
      </c>
      <c r="B1049" t="s">
        <v>7</v>
      </c>
      <c r="C1049">
        <v>52.58</v>
      </c>
      <c r="D1049">
        <v>1</v>
      </c>
      <c r="E1049" t="s">
        <v>1</v>
      </c>
      <c r="F1049" t="s">
        <v>5</v>
      </c>
      <c r="G1049" s="2">
        <v>44501.398200000003</v>
      </c>
      <c r="H1049" s="1" t="str">
        <f>IF(A1049&lt;31,"18-30",IF(A1049&lt;46,"31-45",IF(A1049&lt;61,"46-60","60+")))</f>
        <v>18-30</v>
      </c>
      <c r="I1049" t="str">
        <f>IF(C1049&lt;18.5,"Underweight",IF(C1049&lt;25,"Normal",IF(C1049&lt;30,"Overweight","Obese")))</f>
        <v>Obese</v>
      </c>
      <c r="J1049">
        <f>IF(E1049="yes",1,0)</f>
        <v>1</v>
      </c>
      <c r="K1049" t="str">
        <f>IF(G1049&gt;15000,"High","Low")</f>
        <v>High</v>
      </c>
    </row>
    <row r="1050" spans="1:11" x14ac:dyDescent="0.35">
      <c r="A1050">
        <v>25</v>
      </c>
      <c r="B1050" t="s">
        <v>2</v>
      </c>
      <c r="C1050">
        <v>22.515000000000001</v>
      </c>
      <c r="D1050">
        <v>1</v>
      </c>
      <c r="E1050" t="s">
        <v>4</v>
      </c>
      <c r="F1050" t="s">
        <v>0</v>
      </c>
      <c r="G1050" s="2">
        <v>3594.17085</v>
      </c>
      <c r="H1050" s="1" t="str">
        <f>IF(A1050&lt;31,"18-30",IF(A1050&lt;46,"31-45",IF(A1050&lt;61,"46-60","60+")))</f>
        <v>18-30</v>
      </c>
      <c r="I1050" t="str">
        <f>IF(C1050&lt;18.5,"Underweight",IF(C1050&lt;25,"Normal",IF(C1050&lt;30,"Overweight","Obese")))</f>
        <v>Normal</v>
      </c>
      <c r="J1050">
        <f>IF(E1050="yes",1,0)</f>
        <v>0</v>
      </c>
      <c r="K1050" t="str">
        <f>IF(G1050&gt;15000,"High","Low")</f>
        <v>Low</v>
      </c>
    </row>
    <row r="1051" spans="1:11" x14ac:dyDescent="0.35">
      <c r="A1051">
        <v>49</v>
      </c>
      <c r="B1051" t="s">
        <v>7</v>
      </c>
      <c r="C1051">
        <v>30.9</v>
      </c>
      <c r="D1051">
        <v>0</v>
      </c>
      <c r="E1051" t="s">
        <v>1</v>
      </c>
      <c r="F1051" t="s">
        <v>3</v>
      </c>
      <c r="G1051" s="2">
        <v>39727.614000000001</v>
      </c>
      <c r="H1051" s="1" t="str">
        <f>IF(A1051&lt;31,"18-30",IF(A1051&lt;46,"31-45",IF(A1051&lt;61,"46-60","60+")))</f>
        <v>46-60</v>
      </c>
      <c r="I1051" t="str">
        <f>IF(C1051&lt;18.5,"Underweight",IF(C1051&lt;25,"Normal",IF(C1051&lt;30,"Overweight","Obese")))</f>
        <v>Obese</v>
      </c>
      <c r="J1051">
        <f>IF(E1051="yes",1,0)</f>
        <v>1</v>
      </c>
      <c r="K1051" t="str">
        <f>IF(G1051&gt;15000,"High","Low")</f>
        <v>High</v>
      </c>
    </row>
    <row r="1052" spans="1:11" x14ac:dyDescent="0.35">
      <c r="A1052">
        <v>44</v>
      </c>
      <c r="B1052" t="s">
        <v>2</v>
      </c>
      <c r="C1052">
        <v>36.954999999999998</v>
      </c>
      <c r="D1052">
        <v>1</v>
      </c>
      <c r="E1052" t="s">
        <v>4</v>
      </c>
      <c r="F1052" t="s">
        <v>0</v>
      </c>
      <c r="G1052" s="2">
        <v>8023.1354499999998</v>
      </c>
      <c r="H1052" s="1" t="str">
        <f>IF(A1052&lt;31,"18-30",IF(A1052&lt;46,"31-45",IF(A1052&lt;61,"46-60","60+")))</f>
        <v>31-45</v>
      </c>
      <c r="I1052" t="str">
        <f>IF(C1052&lt;18.5,"Underweight",IF(C1052&lt;25,"Normal",IF(C1052&lt;30,"Overweight","Obese")))</f>
        <v>Obese</v>
      </c>
      <c r="J1052">
        <f>IF(E1052="yes",1,0)</f>
        <v>0</v>
      </c>
      <c r="K1052" t="str">
        <f>IF(G1052&gt;15000,"High","Low")</f>
        <v>Low</v>
      </c>
    </row>
    <row r="1053" spans="1:11" x14ac:dyDescent="0.35">
      <c r="A1053">
        <v>64</v>
      </c>
      <c r="B1053" t="s">
        <v>7</v>
      </c>
      <c r="C1053">
        <v>26.41</v>
      </c>
      <c r="D1053">
        <v>0</v>
      </c>
      <c r="E1053" t="s">
        <v>4</v>
      </c>
      <c r="F1053" t="s">
        <v>6</v>
      </c>
      <c r="G1053" s="2">
        <v>14394.5579</v>
      </c>
      <c r="H1053" s="1" t="str">
        <f>IF(A1053&lt;31,"18-30",IF(A1053&lt;46,"31-45",IF(A1053&lt;61,"46-60","60+")))</f>
        <v>60+</v>
      </c>
      <c r="I1053" t="str">
        <f>IF(C1053&lt;18.5,"Underweight",IF(C1053&lt;25,"Normal",IF(C1053&lt;30,"Overweight","Obese")))</f>
        <v>Overweight</v>
      </c>
      <c r="J1053">
        <f>IF(E1053="yes",1,0)</f>
        <v>0</v>
      </c>
      <c r="K1053" t="str">
        <f>IF(G1053&gt;15000,"High","Low")</f>
        <v>Low</v>
      </c>
    </row>
    <row r="1054" spans="1:11" x14ac:dyDescent="0.35">
      <c r="A1054">
        <v>49</v>
      </c>
      <c r="B1054" t="s">
        <v>7</v>
      </c>
      <c r="C1054">
        <v>29.83</v>
      </c>
      <c r="D1054">
        <v>1</v>
      </c>
      <c r="E1054" t="s">
        <v>4</v>
      </c>
      <c r="F1054" t="s">
        <v>6</v>
      </c>
      <c r="G1054" s="2">
        <v>9288.0267000000003</v>
      </c>
      <c r="H1054" s="1" t="str">
        <f>IF(A1054&lt;31,"18-30",IF(A1054&lt;46,"31-45",IF(A1054&lt;61,"46-60","60+")))</f>
        <v>46-60</v>
      </c>
      <c r="I1054" t="str">
        <f>IF(C1054&lt;18.5,"Underweight",IF(C1054&lt;25,"Normal",IF(C1054&lt;30,"Overweight","Obese")))</f>
        <v>Overweight</v>
      </c>
      <c r="J1054">
        <f>IF(E1054="yes",1,0)</f>
        <v>0</v>
      </c>
      <c r="K1054" t="str">
        <f>IF(G1054&gt;15000,"High","Low")</f>
        <v>Low</v>
      </c>
    </row>
    <row r="1055" spans="1:11" x14ac:dyDescent="0.35">
      <c r="A1055">
        <v>47</v>
      </c>
      <c r="B1055" t="s">
        <v>7</v>
      </c>
      <c r="C1055">
        <v>29.8</v>
      </c>
      <c r="D1055">
        <v>3</v>
      </c>
      <c r="E1055" t="s">
        <v>1</v>
      </c>
      <c r="F1055" t="s">
        <v>3</v>
      </c>
      <c r="G1055" s="2">
        <v>25309.489000000001</v>
      </c>
      <c r="H1055" s="1" t="str">
        <f>IF(A1055&lt;31,"18-30",IF(A1055&lt;46,"31-45",IF(A1055&lt;61,"46-60","60+")))</f>
        <v>46-60</v>
      </c>
      <c r="I1055" t="str">
        <f>IF(C1055&lt;18.5,"Underweight",IF(C1055&lt;25,"Normal",IF(C1055&lt;30,"Overweight","Obese")))</f>
        <v>Overweight</v>
      </c>
      <c r="J1055">
        <f>IF(E1055="yes",1,0)</f>
        <v>1</v>
      </c>
      <c r="K1055" t="str">
        <f>IF(G1055&gt;15000,"High","Low")</f>
        <v>High</v>
      </c>
    </row>
    <row r="1056" spans="1:11" x14ac:dyDescent="0.35">
      <c r="A1056">
        <v>27</v>
      </c>
      <c r="B1056" t="s">
        <v>2</v>
      </c>
      <c r="C1056">
        <v>21.47</v>
      </c>
      <c r="D1056">
        <v>0</v>
      </c>
      <c r="E1056" t="s">
        <v>4</v>
      </c>
      <c r="F1056" t="s">
        <v>0</v>
      </c>
      <c r="G1056" s="2">
        <v>3353.4703</v>
      </c>
      <c r="H1056" s="1" t="str">
        <f>IF(A1056&lt;31,"18-30",IF(A1056&lt;46,"31-45",IF(A1056&lt;61,"46-60","60+")))</f>
        <v>18-30</v>
      </c>
      <c r="I1056" t="str">
        <f>IF(C1056&lt;18.5,"Underweight",IF(C1056&lt;25,"Normal",IF(C1056&lt;30,"Overweight","Obese")))</f>
        <v>Normal</v>
      </c>
      <c r="J1056">
        <f>IF(E1056="yes",1,0)</f>
        <v>0</v>
      </c>
      <c r="K1056" t="str">
        <f>IF(G1056&gt;15000,"High","Low")</f>
        <v>Low</v>
      </c>
    </row>
    <row r="1057" spans="1:11" x14ac:dyDescent="0.35">
      <c r="A1057">
        <v>55</v>
      </c>
      <c r="B1057" t="s">
        <v>7</v>
      </c>
      <c r="C1057">
        <v>27.645</v>
      </c>
      <c r="D1057">
        <v>0</v>
      </c>
      <c r="E1057" t="s">
        <v>4</v>
      </c>
      <c r="F1057" t="s">
        <v>0</v>
      </c>
      <c r="G1057" s="2">
        <v>10594.501550000001</v>
      </c>
      <c r="H1057" s="1" t="str">
        <f>IF(A1057&lt;31,"18-30",IF(A1057&lt;46,"31-45",IF(A1057&lt;61,"46-60","60+")))</f>
        <v>46-60</v>
      </c>
      <c r="I1057" t="str">
        <f>IF(C1057&lt;18.5,"Underweight",IF(C1057&lt;25,"Normal",IF(C1057&lt;30,"Overweight","Obese")))</f>
        <v>Overweight</v>
      </c>
      <c r="J1057">
        <f>IF(E1057="yes",1,0)</f>
        <v>0</v>
      </c>
      <c r="K1057" t="str">
        <f>IF(G1057&gt;15000,"High","Low")</f>
        <v>Low</v>
      </c>
    </row>
    <row r="1058" spans="1:11" x14ac:dyDescent="0.35">
      <c r="A1058">
        <v>48</v>
      </c>
      <c r="B1058" t="s">
        <v>2</v>
      </c>
      <c r="C1058">
        <v>28.9</v>
      </c>
      <c r="D1058">
        <v>0</v>
      </c>
      <c r="E1058" t="s">
        <v>4</v>
      </c>
      <c r="F1058" t="s">
        <v>3</v>
      </c>
      <c r="G1058" s="2">
        <v>8277.5229999999992</v>
      </c>
      <c r="H1058" s="1" t="str">
        <f>IF(A1058&lt;31,"18-30",IF(A1058&lt;46,"31-45",IF(A1058&lt;61,"46-60","60+")))</f>
        <v>46-60</v>
      </c>
      <c r="I1058" t="str">
        <f>IF(C1058&lt;18.5,"Underweight",IF(C1058&lt;25,"Normal",IF(C1058&lt;30,"Overweight","Obese")))</f>
        <v>Overweight</v>
      </c>
      <c r="J1058">
        <f>IF(E1058="yes",1,0)</f>
        <v>0</v>
      </c>
      <c r="K1058" t="str">
        <f>IF(G1058&gt;15000,"High","Low")</f>
        <v>Low</v>
      </c>
    </row>
    <row r="1059" spans="1:11" x14ac:dyDescent="0.35">
      <c r="A1059">
        <v>45</v>
      </c>
      <c r="B1059" t="s">
        <v>2</v>
      </c>
      <c r="C1059">
        <v>31.79</v>
      </c>
      <c r="D1059">
        <v>0</v>
      </c>
      <c r="E1059" t="s">
        <v>4</v>
      </c>
      <c r="F1059" t="s">
        <v>5</v>
      </c>
      <c r="G1059" s="2">
        <v>17929.303370000001</v>
      </c>
      <c r="H1059" s="1" t="str">
        <f>IF(A1059&lt;31,"18-30",IF(A1059&lt;46,"31-45",IF(A1059&lt;61,"46-60","60+")))</f>
        <v>31-45</v>
      </c>
      <c r="I1059" t="str">
        <f>IF(C1059&lt;18.5,"Underweight",IF(C1059&lt;25,"Normal",IF(C1059&lt;30,"Overweight","Obese")))</f>
        <v>Obese</v>
      </c>
      <c r="J1059">
        <f>IF(E1059="yes",1,0)</f>
        <v>0</v>
      </c>
      <c r="K1059" t="str">
        <f>IF(G1059&gt;15000,"High","Low")</f>
        <v>High</v>
      </c>
    </row>
    <row r="1060" spans="1:11" x14ac:dyDescent="0.35">
      <c r="A1060">
        <v>24</v>
      </c>
      <c r="B1060" t="s">
        <v>2</v>
      </c>
      <c r="C1060">
        <v>39.49</v>
      </c>
      <c r="D1060">
        <v>0</v>
      </c>
      <c r="E1060" t="s">
        <v>4</v>
      </c>
      <c r="F1060" t="s">
        <v>5</v>
      </c>
      <c r="G1060" s="2">
        <v>2480.9791</v>
      </c>
      <c r="H1060" s="1" t="str">
        <f>IF(A1060&lt;31,"18-30",IF(A1060&lt;46,"31-45",IF(A1060&lt;61,"46-60","60+")))</f>
        <v>18-30</v>
      </c>
      <c r="I1060" t="str">
        <f>IF(C1060&lt;18.5,"Underweight",IF(C1060&lt;25,"Normal",IF(C1060&lt;30,"Overweight","Obese")))</f>
        <v>Obese</v>
      </c>
      <c r="J1060">
        <f>IF(E1060="yes",1,0)</f>
        <v>0</v>
      </c>
      <c r="K1060" t="str">
        <f>IF(G1060&gt;15000,"High","Low")</f>
        <v>Low</v>
      </c>
    </row>
    <row r="1061" spans="1:11" x14ac:dyDescent="0.35">
      <c r="A1061">
        <v>32</v>
      </c>
      <c r="B1061" t="s">
        <v>7</v>
      </c>
      <c r="C1061">
        <v>33.82</v>
      </c>
      <c r="D1061">
        <v>1</v>
      </c>
      <c r="E1061" t="s">
        <v>4</v>
      </c>
      <c r="F1061" t="s">
        <v>0</v>
      </c>
      <c r="G1061" s="2">
        <v>4462.7218000000003</v>
      </c>
      <c r="H1061" s="1" t="str">
        <f>IF(A1061&lt;31,"18-30",IF(A1061&lt;46,"31-45",IF(A1061&lt;61,"46-60","60+")))</f>
        <v>31-45</v>
      </c>
      <c r="I1061" t="str">
        <f>IF(C1061&lt;18.5,"Underweight",IF(C1061&lt;25,"Normal",IF(C1061&lt;30,"Overweight","Obese")))</f>
        <v>Obese</v>
      </c>
      <c r="J1061">
        <f>IF(E1061="yes",1,0)</f>
        <v>0</v>
      </c>
      <c r="K1061" t="str">
        <f>IF(G1061&gt;15000,"High","Low")</f>
        <v>Low</v>
      </c>
    </row>
    <row r="1062" spans="1:11" x14ac:dyDescent="0.35">
      <c r="A1062">
        <v>24</v>
      </c>
      <c r="B1062" t="s">
        <v>7</v>
      </c>
      <c r="C1062">
        <v>32.01</v>
      </c>
      <c r="D1062">
        <v>0</v>
      </c>
      <c r="E1062" t="s">
        <v>4</v>
      </c>
      <c r="F1062" t="s">
        <v>5</v>
      </c>
      <c r="G1062" s="2">
        <v>1981.5818999999999</v>
      </c>
      <c r="H1062" s="1" t="str">
        <f>IF(A1062&lt;31,"18-30",IF(A1062&lt;46,"31-45",IF(A1062&lt;61,"46-60","60+")))</f>
        <v>18-30</v>
      </c>
      <c r="I1062" t="str">
        <f>IF(C1062&lt;18.5,"Underweight",IF(C1062&lt;25,"Normal",IF(C1062&lt;30,"Overweight","Obese")))</f>
        <v>Obese</v>
      </c>
      <c r="J1062">
        <f>IF(E1062="yes",1,0)</f>
        <v>0</v>
      </c>
      <c r="K1062" t="str">
        <f>IF(G1062&gt;15000,"High","Low")</f>
        <v>Low</v>
      </c>
    </row>
    <row r="1063" spans="1:11" x14ac:dyDescent="0.35">
      <c r="A1063">
        <v>57</v>
      </c>
      <c r="B1063" t="s">
        <v>7</v>
      </c>
      <c r="C1063">
        <v>27.94</v>
      </c>
      <c r="D1063">
        <v>1</v>
      </c>
      <c r="E1063" t="s">
        <v>4</v>
      </c>
      <c r="F1063" t="s">
        <v>5</v>
      </c>
      <c r="G1063" s="2">
        <v>11554.223599999999</v>
      </c>
      <c r="H1063" s="1" t="str">
        <f>IF(A1063&lt;31,"18-30",IF(A1063&lt;46,"31-45",IF(A1063&lt;61,"46-60","60+")))</f>
        <v>46-60</v>
      </c>
      <c r="I1063" t="str">
        <f>IF(C1063&lt;18.5,"Underweight",IF(C1063&lt;25,"Normal",IF(C1063&lt;30,"Overweight","Obese")))</f>
        <v>Overweight</v>
      </c>
      <c r="J1063">
        <f>IF(E1063="yes",1,0)</f>
        <v>0</v>
      </c>
      <c r="K1063" t="str">
        <f>IF(G1063&gt;15000,"High","Low")</f>
        <v>Low</v>
      </c>
    </row>
    <row r="1064" spans="1:11" x14ac:dyDescent="0.35">
      <c r="A1064">
        <v>59</v>
      </c>
      <c r="B1064" t="s">
        <v>7</v>
      </c>
      <c r="C1064">
        <v>41.14</v>
      </c>
      <c r="D1064">
        <v>1</v>
      </c>
      <c r="E1064" t="s">
        <v>1</v>
      </c>
      <c r="F1064" t="s">
        <v>5</v>
      </c>
      <c r="G1064" s="2">
        <v>48970.247600000002</v>
      </c>
      <c r="H1064" s="1" t="str">
        <f>IF(A1064&lt;31,"18-30",IF(A1064&lt;46,"31-45",IF(A1064&lt;61,"46-60","60+")))</f>
        <v>46-60</v>
      </c>
      <c r="I1064" t="str">
        <f>IF(C1064&lt;18.5,"Underweight",IF(C1064&lt;25,"Normal",IF(C1064&lt;30,"Overweight","Obese")))</f>
        <v>Obese</v>
      </c>
      <c r="J1064">
        <f>IF(E1064="yes",1,0)</f>
        <v>1</v>
      </c>
      <c r="K1064" t="str">
        <f>IF(G1064&gt;15000,"High","Low")</f>
        <v>High</v>
      </c>
    </row>
    <row r="1065" spans="1:11" x14ac:dyDescent="0.35">
      <c r="A1065">
        <v>36</v>
      </c>
      <c r="B1065" t="s">
        <v>7</v>
      </c>
      <c r="C1065">
        <v>28.594999999999999</v>
      </c>
      <c r="D1065">
        <v>3</v>
      </c>
      <c r="E1065" t="s">
        <v>4</v>
      </c>
      <c r="F1065" t="s">
        <v>0</v>
      </c>
      <c r="G1065" s="2">
        <v>6548.1950500000003</v>
      </c>
      <c r="H1065" s="1" t="str">
        <f>IF(A1065&lt;31,"18-30",IF(A1065&lt;46,"31-45",IF(A1065&lt;61,"46-60","60+")))</f>
        <v>31-45</v>
      </c>
      <c r="I1065" t="str">
        <f>IF(C1065&lt;18.5,"Underweight",IF(C1065&lt;25,"Normal",IF(C1065&lt;30,"Overweight","Obese")))</f>
        <v>Overweight</v>
      </c>
      <c r="J1065">
        <f>IF(E1065="yes",1,0)</f>
        <v>0</v>
      </c>
      <c r="K1065" t="str">
        <f>IF(G1065&gt;15000,"High","Low")</f>
        <v>Low</v>
      </c>
    </row>
    <row r="1066" spans="1:11" x14ac:dyDescent="0.35">
      <c r="A1066">
        <v>29</v>
      </c>
      <c r="B1066" t="s">
        <v>2</v>
      </c>
      <c r="C1066">
        <v>25.6</v>
      </c>
      <c r="D1066">
        <v>4</v>
      </c>
      <c r="E1066" t="s">
        <v>4</v>
      </c>
      <c r="F1066" t="s">
        <v>3</v>
      </c>
      <c r="G1066" s="2">
        <v>5708.8670000000002</v>
      </c>
      <c r="H1066" s="1" t="str">
        <f>IF(A1066&lt;31,"18-30",IF(A1066&lt;46,"31-45",IF(A1066&lt;61,"46-60","60+")))</f>
        <v>18-30</v>
      </c>
      <c r="I1066" t="str">
        <f>IF(C1066&lt;18.5,"Underweight",IF(C1066&lt;25,"Normal",IF(C1066&lt;30,"Overweight","Obese")))</f>
        <v>Overweight</v>
      </c>
      <c r="J1066">
        <f>IF(E1066="yes",1,0)</f>
        <v>0</v>
      </c>
      <c r="K1066" t="str">
        <f>IF(G1066&gt;15000,"High","Low")</f>
        <v>Low</v>
      </c>
    </row>
    <row r="1067" spans="1:11" x14ac:dyDescent="0.35">
      <c r="A1067">
        <v>42</v>
      </c>
      <c r="B1067" t="s">
        <v>2</v>
      </c>
      <c r="C1067">
        <v>25.3</v>
      </c>
      <c r="D1067">
        <v>1</v>
      </c>
      <c r="E1067" t="s">
        <v>4</v>
      </c>
      <c r="F1067" t="s">
        <v>3</v>
      </c>
      <c r="G1067" s="2">
        <v>7045.4989999999998</v>
      </c>
      <c r="H1067" s="1" t="str">
        <f>IF(A1067&lt;31,"18-30",IF(A1067&lt;46,"31-45",IF(A1067&lt;61,"46-60","60+")))</f>
        <v>31-45</v>
      </c>
      <c r="I1067" t="str">
        <f>IF(C1067&lt;18.5,"Underweight",IF(C1067&lt;25,"Normal",IF(C1067&lt;30,"Overweight","Obese")))</f>
        <v>Overweight</v>
      </c>
      <c r="J1067">
        <f>IF(E1067="yes",1,0)</f>
        <v>0</v>
      </c>
      <c r="K1067" t="str">
        <f>IF(G1067&gt;15000,"High","Low")</f>
        <v>Low</v>
      </c>
    </row>
    <row r="1068" spans="1:11" x14ac:dyDescent="0.35">
      <c r="A1068">
        <v>48</v>
      </c>
      <c r="B1068" t="s">
        <v>7</v>
      </c>
      <c r="C1068">
        <v>37.29</v>
      </c>
      <c r="D1068">
        <v>2</v>
      </c>
      <c r="E1068" t="s">
        <v>4</v>
      </c>
      <c r="F1068" t="s">
        <v>5</v>
      </c>
      <c r="G1068" s="2">
        <v>8978.1851000000006</v>
      </c>
      <c r="H1068" s="1" t="str">
        <f>IF(A1068&lt;31,"18-30",IF(A1068&lt;46,"31-45",IF(A1068&lt;61,"46-60","60+")))</f>
        <v>46-60</v>
      </c>
      <c r="I1068" t="str">
        <f>IF(C1068&lt;18.5,"Underweight",IF(C1068&lt;25,"Normal",IF(C1068&lt;30,"Overweight","Obese")))</f>
        <v>Obese</v>
      </c>
      <c r="J1068">
        <f>IF(E1068="yes",1,0)</f>
        <v>0</v>
      </c>
      <c r="K1068" t="str">
        <f>IF(G1068&gt;15000,"High","Low")</f>
        <v>Low</v>
      </c>
    </row>
    <row r="1069" spans="1:11" x14ac:dyDescent="0.35">
      <c r="A1069">
        <v>39</v>
      </c>
      <c r="B1069" t="s">
        <v>7</v>
      </c>
      <c r="C1069">
        <v>42.655000000000001</v>
      </c>
      <c r="D1069">
        <v>0</v>
      </c>
      <c r="E1069" t="s">
        <v>4</v>
      </c>
      <c r="F1069" t="s">
        <v>6</v>
      </c>
      <c r="G1069" s="2">
        <v>5757.41345</v>
      </c>
      <c r="H1069" s="1" t="str">
        <f>IF(A1069&lt;31,"18-30",IF(A1069&lt;46,"31-45",IF(A1069&lt;61,"46-60","60+")))</f>
        <v>31-45</v>
      </c>
      <c r="I1069" t="str">
        <f>IF(C1069&lt;18.5,"Underweight",IF(C1069&lt;25,"Normal",IF(C1069&lt;30,"Overweight","Obese")))</f>
        <v>Obese</v>
      </c>
      <c r="J1069">
        <f>IF(E1069="yes",1,0)</f>
        <v>0</v>
      </c>
      <c r="K1069" t="str">
        <f>IF(G1069&gt;15000,"High","Low")</f>
        <v>Low</v>
      </c>
    </row>
    <row r="1070" spans="1:11" x14ac:dyDescent="0.35">
      <c r="A1070">
        <v>63</v>
      </c>
      <c r="B1070" t="s">
        <v>7</v>
      </c>
      <c r="C1070">
        <v>21.66</v>
      </c>
      <c r="D1070">
        <v>1</v>
      </c>
      <c r="E1070" t="s">
        <v>4</v>
      </c>
      <c r="F1070" t="s">
        <v>0</v>
      </c>
      <c r="G1070" s="2">
        <v>14349.8544</v>
      </c>
      <c r="H1070" s="1" t="str">
        <f>IF(A1070&lt;31,"18-30",IF(A1070&lt;46,"31-45",IF(A1070&lt;61,"46-60","60+")))</f>
        <v>60+</v>
      </c>
      <c r="I1070" t="str">
        <f>IF(C1070&lt;18.5,"Underweight",IF(C1070&lt;25,"Normal",IF(C1070&lt;30,"Overweight","Obese")))</f>
        <v>Normal</v>
      </c>
      <c r="J1070">
        <f>IF(E1070="yes",1,0)</f>
        <v>0</v>
      </c>
      <c r="K1070" t="str">
        <f>IF(G1070&gt;15000,"High","Low")</f>
        <v>Low</v>
      </c>
    </row>
    <row r="1071" spans="1:11" x14ac:dyDescent="0.35">
      <c r="A1071">
        <v>54</v>
      </c>
      <c r="B1071" t="s">
        <v>2</v>
      </c>
      <c r="C1071">
        <v>31.9</v>
      </c>
      <c r="D1071">
        <v>1</v>
      </c>
      <c r="E1071" t="s">
        <v>4</v>
      </c>
      <c r="F1071" t="s">
        <v>5</v>
      </c>
      <c r="G1071" s="2">
        <v>10928.849</v>
      </c>
      <c r="H1071" s="1" t="str">
        <f>IF(A1071&lt;31,"18-30",IF(A1071&lt;46,"31-45",IF(A1071&lt;61,"46-60","60+")))</f>
        <v>46-60</v>
      </c>
      <c r="I1071" t="str">
        <f>IF(C1071&lt;18.5,"Underweight",IF(C1071&lt;25,"Normal",IF(C1071&lt;30,"Overweight","Obese")))</f>
        <v>Obese</v>
      </c>
      <c r="J1071">
        <f>IF(E1071="yes",1,0)</f>
        <v>0</v>
      </c>
      <c r="K1071" t="str">
        <f>IF(G1071&gt;15000,"High","Low")</f>
        <v>Low</v>
      </c>
    </row>
    <row r="1072" spans="1:11" x14ac:dyDescent="0.35">
      <c r="A1072">
        <v>37</v>
      </c>
      <c r="B1072" t="s">
        <v>7</v>
      </c>
      <c r="C1072">
        <v>37.07</v>
      </c>
      <c r="D1072">
        <v>1</v>
      </c>
      <c r="E1072" t="s">
        <v>1</v>
      </c>
      <c r="F1072" t="s">
        <v>5</v>
      </c>
      <c r="G1072" s="2">
        <v>39871.704299999998</v>
      </c>
      <c r="H1072" s="1" t="str">
        <f>IF(A1072&lt;31,"18-30",IF(A1072&lt;46,"31-45",IF(A1072&lt;61,"46-60","60+")))</f>
        <v>31-45</v>
      </c>
      <c r="I1072" t="str">
        <f>IF(C1072&lt;18.5,"Underweight",IF(C1072&lt;25,"Normal",IF(C1072&lt;30,"Overweight","Obese")))</f>
        <v>Obese</v>
      </c>
      <c r="J1072">
        <f>IF(E1072="yes",1,0)</f>
        <v>1</v>
      </c>
      <c r="K1072" t="str">
        <f>IF(G1072&gt;15000,"High","Low")</f>
        <v>High</v>
      </c>
    </row>
    <row r="1073" spans="1:11" x14ac:dyDescent="0.35">
      <c r="A1073">
        <v>63</v>
      </c>
      <c r="B1073" t="s">
        <v>7</v>
      </c>
      <c r="C1073">
        <v>31.445</v>
      </c>
      <c r="D1073">
        <v>0</v>
      </c>
      <c r="E1073" t="s">
        <v>4</v>
      </c>
      <c r="F1073" t="s">
        <v>6</v>
      </c>
      <c r="G1073" s="2">
        <v>13974.455550000001</v>
      </c>
      <c r="H1073" s="1" t="str">
        <f>IF(A1073&lt;31,"18-30",IF(A1073&lt;46,"31-45",IF(A1073&lt;61,"46-60","60+")))</f>
        <v>60+</v>
      </c>
      <c r="I1073" t="str">
        <f>IF(C1073&lt;18.5,"Underweight",IF(C1073&lt;25,"Normal",IF(C1073&lt;30,"Overweight","Obese")))</f>
        <v>Obese</v>
      </c>
      <c r="J1073">
        <f>IF(E1073="yes",1,0)</f>
        <v>0</v>
      </c>
      <c r="K1073" t="str">
        <f>IF(G1073&gt;15000,"High","Low")</f>
        <v>Low</v>
      </c>
    </row>
    <row r="1074" spans="1:11" x14ac:dyDescent="0.35">
      <c r="A1074">
        <v>21</v>
      </c>
      <c r="B1074" t="s">
        <v>7</v>
      </c>
      <c r="C1074">
        <v>31.254999999999999</v>
      </c>
      <c r="D1074">
        <v>0</v>
      </c>
      <c r="E1074" t="s">
        <v>4</v>
      </c>
      <c r="F1074" t="s">
        <v>0</v>
      </c>
      <c r="G1074" s="2">
        <v>1909.52745</v>
      </c>
      <c r="H1074" s="1" t="str">
        <f>IF(A1074&lt;31,"18-30",IF(A1074&lt;46,"31-45",IF(A1074&lt;61,"46-60","60+")))</f>
        <v>18-30</v>
      </c>
      <c r="I1074" t="str">
        <f>IF(C1074&lt;18.5,"Underweight",IF(C1074&lt;25,"Normal",IF(C1074&lt;30,"Overweight","Obese")))</f>
        <v>Obese</v>
      </c>
      <c r="J1074">
        <f>IF(E1074="yes",1,0)</f>
        <v>0</v>
      </c>
      <c r="K1074" t="str">
        <f>IF(G1074&gt;15000,"High","Low")</f>
        <v>Low</v>
      </c>
    </row>
    <row r="1075" spans="1:11" x14ac:dyDescent="0.35">
      <c r="A1075">
        <v>54</v>
      </c>
      <c r="B1075" t="s">
        <v>2</v>
      </c>
      <c r="C1075">
        <v>28.88</v>
      </c>
      <c r="D1075">
        <v>2</v>
      </c>
      <c r="E1075" t="s">
        <v>4</v>
      </c>
      <c r="F1075" t="s">
        <v>6</v>
      </c>
      <c r="G1075" s="2">
        <v>12096.6512</v>
      </c>
      <c r="H1075" s="1" t="str">
        <f>IF(A1075&lt;31,"18-30",IF(A1075&lt;46,"31-45",IF(A1075&lt;61,"46-60","60+")))</f>
        <v>46-60</v>
      </c>
      <c r="I1075" t="str">
        <f>IF(C1075&lt;18.5,"Underweight",IF(C1075&lt;25,"Normal",IF(C1075&lt;30,"Overweight","Obese")))</f>
        <v>Overweight</v>
      </c>
      <c r="J1075">
        <f>IF(E1075="yes",1,0)</f>
        <v>0</v>
      </c>
      <c r="K1075" t="str">
        <f>IF(G1075&gt;15000,"High","Low")</f>
        <v>Low</v>
      </c>
    </row>
    <row r="1076" spans="1:11" x14ac:dyDescent="0.35">
      <c r="A1076">
        <v>60</v>
      </c>
      <c r="B1076" t="s">
        <v>2</v>
      </c>
      <c r="C1076">
        <v>18.335000000000001</v>
      </c>
      <c r="D1076">
        <v>0</v>
      </c>
      <c r="E1076" t="s">
        <v>4</v>
      </c>
      <c r="F1076" t="s">
        <v>6</v>
      </c>
      <c r="G1076" s="2">
        <v>13204.28565</v>
      </c>
      <c r="H1076" s="1" t="str">
        <f>IF(A1076&lt;31,"18-30",IF(A1076&lt;46,"31-45",IF(A1076&lt;61,"46-60","60+")))</f>
        <v>46-60</v>
      </c>
      <c r="I1076" t="str">
        <f>IF(C1076&lt;18.5,"Underweight",IF(C1076&lt;25,"Normal",IF(C1076&lt;30,"Overweight","Obese")))</f>
        <v>Underweight</v>
      </c>
      <c r="J1076">
        <f>IF(E1076="yes",1,0)</f>
        <v>0</v>
      </c>
      <c r="K1076" t="str">
        <f>IF(G1076&gt;15000,"High","Low")</f>
        <v>Low</v>
      </c>
    </row>
    <row r="1077" spans="1:11" x14ac:dyDescent="0.35">
      <c r="A1077">
        <v>32</v>
      </c>
      <c r="B1077" t="s">
        <v>2</v>
      </c>
      <c r="C1077">
        <v>29.59</v>
      </c>
      <c r="D1077">
        <v>1</v>
      </c>
      <c r="E1077" t="s">
        <v>4</v>
      </c>
      <c r="F1077" t="s">
        <v>5</v>
      </c>
      <c r="G1077" s="2">
        <v>4562.8420999999998</v>
      </c>
      <c r="H1077" s="1" t="str">
        <f>IF(A1077&lt;31,"18-30",IF(A1077&lt;46,"31-45",IF(A1077&lt;61,"46-60","60+")))</f>
        <v>31-45</v>
      </c>
      <c r="I1077" t="str">
        <f>IF(C1077&lt;18.5,"Underweight",IF(C1077&lt;25,"Normal",IF(C1077&lt;30,"Overweight","Obese")))</f>
        <v>Overweight</v>
      </c>
      <c r="J1077">
        <f>IF(E1077="yes",1,0)</f>
        <v>0</v>
      </c>
      <c r="K1077" t="str">
        <f>IF(G1077&gt;15000,"High","Low")</f>
        <v>Low</v>
      </c>
    </row>
    <row r="1078" spans="1:11" x14ac:dyDescent="0.35">
      <c r="A1078">
        <v>47</v>
      </c>
      <c r="B1078" t="s">
        <v>2</v>
      </c>
      <c r="C1078">
        <v>32</v>
      </c>
      <c r="D1078">
        <v>1</v>
      </c>
      <c r="E1078" t="s">
        <v>4</v>
      </c>
      <c r="F1078" t="s">
        <v>3</v>
      </c>
      <c r="G1078" s="2">
        <v>8551.3469999999998</v>
      </c>
      <c r="H1078" s="1" t="str">
        <f>IF(A1078&lt;31,"18-30",IF(A1078&lt;46,"31-45",IF(A1078&lt;61,"46-60","60+")))</f>
        <v>46-60</v>
      </c>
      <c r="I1078" t="str">
        <f>IF(C1078&lt;18.5,"Underweight",IF(C1078&lt;25,"Normal",IF(C1078&lt;30,"Overweight","Obese")))</f>
        <v>Obese</v>
      </c>
      <c r="J1078">
        <f>IF(E1078="yes",1,0)</f>
        <v>0</v>
      </c>
      <c r="K1078" t="str">
        <f>IF(G1078&gt;15000,"High","Low")</f>
        <v>Low</v>
      </c>
    </row>
    <row r="1079" spans="1:11" x14ac:dyDescent="0.35">
      <c r="A1079">
        <v>21</v>
      </c>
      <c r="B1079" t="s">
        <v>7</v>
      </c>
      <c r="C1079">
        <v>26.03</v>
      </c>
      <c r="D1079">
        <v>0</v>
      </c>
      <c r="E1079" t="s">
        <v>4</v>
      </c>
      <c r="F1079" t="s">
        <v>6</v>
      </c>
      <c r="G1079" s="2">
        <v>2102.2647000000002</v>
      </c>
      <c r="H1079" s="1" t="str">
        <f>IF(A1079&lt;31,"18-30",IF(A1079&lt;46,"31-45",IF(A1079&lt;61,"46-60","60+")))</f>
        <v>18-30</v>
      </c>
      <c r="I1079" t="str">
        <f>IF(C1079&lt;18.5,"Underweight",IF(C1079&lt;25,"Normal",IF(C1079&lt;30,"Overweight","Obese")))</f>
        <v>Overweight</v>
      </c>
      <c r="J1079">
        <f>IF(E1079="yes",1,0)</f>
        <v>0</v>
      </c>
      <c r="K1079" t="str">
        <f>IF(G1079&gt;15000,"High","Low")</f>
        <v>Low</v>
      </c>
    </row>
    <row r="1080" spans="1:11" x14ac:dyDescent="0.35">
      <c r="A1080">
        <v>28</v>
      </c>
      <c r="B1080" t="s">
        <v>7</v>
      </c>
      <c r="C1080">
        <v>31.68</v>
      </c>
      <c r="D1080">
        <v>0</v>
      </c>
      <c r="E1080" t="s">
        <v>1</v>
      </c>
      <c r="F1080" t="s">
        <v>5</v>
      </c>
      <c r="G1080" s="2">
        <v>34672.147199999999</v>
      </c>
      <c r="H1080" s="1" t="str">
        <f>IF(A1080&lt;31,"18-30",IF(A1080&lt;46,"31-45",IF(A1080&lt;61,"46-60","60+")))</f>
        <v>18-30</v>
      </c>
      <c r="I1080" t="str">
        <f>IF(C1080&lt;18.5,"Underweight",IF(C1080&lt;25,"Normal",IF(C1080&lt;30,"Overweight","Obese")))</f>
        <v>Obese</v>
      </c>
      <c r="J1080">
        <f>IF(E1080="yes",1,0)</f>
        <v>1</v>
      </c>
      <c r="K1080" t="str">
        <f>IF(G1080&gt;15000,"High","Low")</f>
        <v>High</v>
      </c>
    </row>
    <row r="1081" spans="1:11" x14ac:dyDescent="0.35">
      <c r="A1081">
        <v>63</v>
      </c>
      <c r="B1081" t="s">
        <v>7</v>
      </c>
      <c r="C1081">
        <v>33.659999999999997</v>
      </c>
      <c r="D1081">
        <v>3</v>
      </c>
      <c r="E1081" t="s">
        <v>4</v>
      </c>
      <c r="F1081" t="s">
        <v>5</v>
      </c>
      <c r="G1081" s="2">
        <v>15161.5344</v>
      </c>
      <c r="H1081" s="1" t="str">
        <f>IF(A1081&lt;31,"18-30",IF(A1081&lt;46,"31-45",IF(A1081&lt;61,"46-60","60+")))</f>
        <v>60+</v>
      </c>
      <c r="I1081" t="str">
        <f>IF(C1081&lt;18.5,"Underweight",IF(C1081&lt;25,"Normal",IF(C1081&lt;30,"Overweight","Obese")))</f>
        <v>Obese</v>
      </c>
      <c r="J1081">
        <f>IF(E1081="yes",1,0)</f>
        <v>0</v>
      </c>
      <c r="K1081" t="str">
        <f>IF(G1081&gt;15000,"High","Low")</f>
        <v>High</v>
      </c>
    </row>
    <row r="1082" spans="1:11" x14ac:dyDescent="0.35">
      <c r="A1082">
        <v>18</v>
      </c>
      <c r="B1082" t="s">
        <v>7</v>
      </c>
      <c r="C1082">
        <v>21.78</v>
      </c>
      <c r="D1082">
        <v>2</v>
      </c>
      <c r="E1082" t="s">
        <v>4</v>
      </c>
      <c r="F1082" t="s">
        <v>5</v>
      </c>
      <c r="G1082" s="2">
        <v>11884.048580000001</v>
      </c>
      <c r="H1082" s="1" t="str">
        <f>IF(A1082&lt;31,"18-30",IF(A1082&lt;46,"31-45",IF(A1082&lt;61,"46-60","60+")))</f>
        <v>18-30</v>
      </c>
      <c r="I1082" t="str">
        <f>IF(C1082&lt;18.5,"Underweight",IF(C1082&lt;25,"Normal",IF(C1082&lt;30,"Overweight","Obese")))</f>
        <v>Normal</v>
      </c>
      <c r="J1082">
        <f>IF(E1082="yes",1,0)</f>
        <v>0</v>
      </c>
      <c r="K1082" t="str">
        <f>IF(G1082&gt;15000,"High","Low")</f>
        <v>Low</v>
      </c>
    </row>
    <row r="1083" spans="1:11" x14ac:dyDescent="0.35">
      <c r="A1083">
        <v>32</v>
      </c>
      <c r="B1083" t="s">
        <v>7</v>
      </c>
      <c r="C1083">
        <v>27.835000000000001</v>
      </c>
      <c r="D1083">
        <v>1</v>
      </c>
      <c r="E1083" t="s">
        <v>4</v>
      </c>
      <c r="F1083" t="s">
        <v>0</v>
      </c>
      <c r="G1083" s="2">
        <v>4454.40265</v>
      </c>
      <c r="H1083" s="1" t="str">
        <f>IF(A1083&lt;31,"18-30",IF(A1083&lt;46,"31-45",IF(A1083&lt;61,"46-60","60+")))</f>
        <v>31-45</v>
      </c>
      <c r="I1083" t="str">
        <f>IF(C1083&lt;18.5,"Underweight",IF(C1083&lt;25,"Normal",IF(C1083&lt;30,"Overweight","Obese")))</f>
        <v>Overweight</v>
      </c>
      <c r="J1083">
        <f>IF(E1083="yes",1,0)</f>
        <v>0</v>
      </c>
      <c r="K1083" t="str">
        <f>IF(G1083&gt;15000,"High","Low")</f>
        <v>Low</v>
      </c>
    </row>
    <row r="1084" spans="1:11" x14ac:dyDescent="0.35">
      <c r="A1084">
        <v>38</v>
      </c>
      <c r="B1084" t="s">
        <v>7</v>
      </c>
      <c r="C1084">
        <v>19.95</v>
      </c>
      <c r="D1084">
        <v>1</v>
      </c>
      <c r="E1084" t="s">
        <v>4</v>
      </c>
      <c r="F1084" t="s">
        <v>0</v>
      </c>
      <c r="G1084" s="2">
        <v>5855.9025000000001</v>
      </c>
      <c r="H1084" s="1" t="str">
        <f>IF(A1084&lt;31,"18-30",IF(A1084&lt;46,"31-45",IF(A1084&lt;61,"46-60","60+")))</f>
        <v>31-45</v>
      </c>
      <c r="I1084" t="str">
        <f>IF(C1084&lt;18.5,"Underweight",IF(C1084&lt;25,"Normal",IF(C1084&lt;30,"Overweight","Obese")))</f>
        <v>Normal</v>
      </c>
      <c r="J1084">
        <f>IF(E1084="yes",1,0)</f>
        <v>0</v>
      </c>
      <c r="K1084" t="str">
        <f>IF(G1084&gt;15000,"High","Low")</f>
        <v>Low</v>
      </c>
    </row>
    <row r="1085" spans="1:11" x14ac:dyDescent="0.35">
      <c r="A1085">
        <v>32</v>
      </c>
      <c r="B1085" t="s">
        <v>7</v>
      </c>
      <c r="C1085">
        <v>31.5</v>
      </c>
      <c r="D1085">
        <v>1</v>
      </c>
      <c r="E1085" t="s">
        <v>4</v>
      </c>
      <c r="F1085" t="s">
        <v>3</v>
      </c>
      <c r="G1085" s="2">
        <v>4076.4969999999998</v>
      </c>
      <c r="H1085" s="1" t="str">
        <f>IF(A1085&lt;31,"18-30",IF(A1085&lt;46,"31-45",IF(A1085&lt;61,"46-60","60+")))</f>
        <v>31-45</v>
      </c>
      <c r="I1085" t="str">
        <f>IF(C1085&lt;18.5,"Underweight",IF(C1085&lt;25,"Normal",IF(C1085&lt;30,"Overweight","Obese")))</f>
        <v>Obese</v>
      </c>
      <c r="J1085">
        <f>IF(E1085="yes",1,0)</f>
        <v>0</v>
      </c>
      <c r="K1085" t="str">
        <f>IF(G1085&gt;15000,"High","Low")</f>
        <v>Low</v>
      </c>
    </row>
    <row r="1086" spans="1:11" x14ac:dyDescent="0.35">
      <c r="A1086">
        <v>62</v>
      </c>
      <c r="B1086" t="s">
        <v>2</v>
      </c>
      <c r="C1086">
        <v>30.495000000000001</v>
      </c>
      <c r="D1086">
        <v>2</v>
      </c>
      <c r="E1086" t="s">
        <v>4</v>
      </c>
      <c r="F1086" t="s">
        <v>0</v>
      </c>
      <c r="G1086" s="2">
        <v>15019.760050000001</v>
      </c>
      <c r="H1086" s="1" t="str">
        <f>IF(A1086&lt;31,"18-30",IF(A1086&lt;46,"31-45",IF(A1086&lt;61,"46-60","60+")))</f>
        <v>60+</v>
      </c>
      <c r="I1086" t="str">
        <f>IF(C1086&lt;18.5,"Underweight",IF(C1086&lt;25,"Normal",IF(C1086&lt;30,"Overweight","Obese")))</f>
        <v>Obese</v>
      </c>
      <c r="J1086">
        <f>IF(E1086="yes",1,0)</f>
        <v>0</v>
      </c>
      <c r="K1086" t="str">
        <f>IF(G1086&gt;15000,"High","Low")</f>
        <v>High</v>
      </c>
    </row>
    <row r="1087" spans="1:11" x14ac:dyDescent="0.35">
      <c r="A1087">
        <v>39</v>
      </c>
      <c r="B1087" t="s">
        <v>2</v>
      </c>
      <c r="C1087">
        <v>18.3</v>
      </c>
      <c r="D1087">
        <v>5</v>
      </c>
      <c r="E1087" t="s">
        <v>1</v>
      </c>
      <c r="F1087" t="s">
        <v>3</v>
      </c>
      <c r="G1087" s="2">
        <v>19023.259999999998</v>
      </c>
      <c r="H1087" s="1" t="str">
        <f>IF(A1087&lt;31,"18-30",IF(A1087&lt;46,"31-45",IF(A1087&lt;61,"46-60","60+")))</f>
        <v>31-45</v>
      </c>
      <c r="I1087" t="str">
        <f>IF(C1087&lt;18.5,"Underweight",IF(C1087&lt;25,"Normal",IF(C1087&lt;30,"Overweight","Obese")))</f>
        <v>Underweight</v>
      </c>
      <c r="J1087">
        <f>IF(E1087="yes",1,0)</f>
        <v>1</v>
      </c>
      <c r="K1087" t="str">
        <f>IF(G1087&gt;15000,"High","Low")</f>
        <v>High</v>
      </c>
    </row>
    <row r="1088" spans="1:11" x14ac:dyDescent="0.35">
      <c r="A1088">
        <v>55</v>
      </c>
      <c r="B1088" t="s">
        <v>7</v>
      </c>
      <c r="C1088">
        <v>28.975000000000001</v>
      </c>
      <c r="D1088">
        <v>0</v>
      </c>
      <c r="E1088" t="s">
        <v>4</v>
      </c>
      <c r="F1088" t="s">
        <v>6</v>
      </c>
      <c r="G1088" s="2">
        <v>10796.35025</v>
      </c>
      <c r="H1088" s="1" t="str">
        <f>IF(A1088&lt;31,"18-30",IF(A1088&lt;46,"31-45",IF(A1088&lt;61,"46-60","60+")))</f>
        <v>46-60</v>
      </c>
      <c r="I1088" t="str">
        <f>IF(C1088&lt;18.5,"Underweight",IF(C1088&lt;25,"Normal",IF(C1088&lt;30,"Overweight","Obese")))</f>
        <v>Overweight</v>
      </c>
      <c r="J1088">
        <f>IF(E1088="yes",1,0)</f>
        <v>0</v>
      </c>
      <c r="K1088" t="str">
        <f>IF(G1088&gt;15000,"High","Low")</f>
        <v>Low</v>
      </c>
    </row>
    <row r="1089" spans="1:11" x14ac:dyDescent="0.35">
      <c r="A1089">
        <v>57</v>
      </c>
      <c r="B1089" t="s">
        <v>7</v>
      </c>
      <c r="C1089">
        <v>31.54</v>
      </c>
      <c r="D1089">
        <v>0</v>
      </c>
      <c r="E1089" t="s">
        <v>4</v>
      </c>
      <c r="F1089" t="s">
        <v>0</v>
      </c>
      <c r="G1089" s="2">
        <v>11353.2276</v>
      </c>
      <c r="H1089" s="1" t="str">
        <f>IF(A1089&lt;31,"18-30",IF(A1089&lt;46,"31-45",IF(A1089&lt;61,"46-60","60+")))</f>
        <v>46-60</v>
      </c>
      <c r="I1089" t="str">
        <f>IF(C1089&lt;18.5,"Underweight",IF(C1089&lt;25,"Normal",IF(C1089&lt;30,"Overweight","Obese")))</f>
        <v>Obese</v>
      </c>
      <c r="J1089">
        <f>IF(E1089="yes",1,0)</f>
        <v>0</v>
      </c>
      <c r="K1089" t="str">
        <f>IF(G1089&gt;15000,"High","Low")</f>
        <v>Low</v>
      </c>
    </row>
    <row r="1090" spans="1:11" x14ac:dyDescent="0.35">
      <c r="A1090">
        <v>52</v>
      </c>
      <c r="B1090" t="s">
        <v>7</v>
      </c>
      <c r="C1090">
        <v>47.74</v>
      </c>
      <c r="D1090">
        <v>1</v>
      </c>
      <c r="E1090" t="s">
        <v>4</v>
      </c>
      <c r="F1090" t="s">
        <v>5</v>
      </c>
      <c r="G1090" s="2">
        <v>9748.9105999999992</v>
      </c>
      <c r="H1090" s="1" t="str">
        <f>IF(A1090&lt;31,"18-30",IF(A1090&lt;46,"31-45",IF(A1090&lt;61,"46-60","60+")))</f>
        <v>46-60</v>
      </c>
      <c r="I1090" t="str">
        <f>IF(C1090&lt;18.5,"Underweight",IF(C1090&lt;25,"Normal",IF(C1090&lt;30,"Overweight","Obese")))</f>
        <v>Obese</v>
      </c>
      <c r="J1090">
        <f>IF(E1090="yes",1,0)</f>
        <v>0</v>
      </c>
      <c r="K1090" t="str">
        <f>IF(G1090&gt;15000,"High","Low")</f>
        <v>Low</v>
      </c>
    </row>
    <row r="1091" spans="1:11" x14ac:dyDescent="0.35">
      <c r="A1091">
        <v>56</v>
      </c>
      <c r="B1091" t="s">
        <v>7</v>
      </c>
      <c r="C1091">
        <v>22.1</v>
      </c>
      <c r="D1091">
        <v>0</v>
      </c>
      <c r="E1091" t="s">
        <v>4</v>
      </c>
      <c r="F1091" t="s">
        <v>3</v>
      </c>
      <c r="G1091" s="2">
        <v>10577.087</v>
      </c>
      <c r="H1091" s="1" t="str">
        <f>IF(A1091&lt;31,"18-30",IF(A1091&lt;46,"31-45",IF(A1091&lt;61,"46-60","60+")))</f>
        <v>46-60</v>
      </c>
      <c r="I1091" t="str">
        <f>IF(C1091&lt;18.5,"Underweight",IF(C1091&lt;25,"Normal",IF(C1091&lt;30,"Overweight","Obese")))</f>
        <v>Normal</v>
      </c>
      <c r="J1091">
        <f>IF(E1091="yes",1,0)</f>
        <v>0</v>
      </c>
      <c r="K1091" t="str">
        <f>IF(G1091&gt;15000,"High","Low")</f>
        <v>Low</v>
      </c>
    </row>
    <row r="1092" spans="1:11" x14ac:dyDescent="0.35">
      <c r="A1092">
        <v>47</v>
      </c>
      <c r="B1092" t="s">
        <v>7</v>
      </c>
      <c r="C1092">
        <v>36.19</v>
      </c>
      <c r="D1092">
        <v>0</v>
      </c>
      <c r="E1092" t="s">
        <v>1</v>
      </c>
      <c r="F1092" t="s">
        <v>5</v>
      </c>
      <c r="G1092" s="2">
        <v>41676.081100000003</v>
      </c>
      <c r="H1092" s="1" t="str">
        <f>IF(A1092&lt;31,"18-30",IF(A1092&lt;46,"31-45",IF(A1092&lt;61,"46-60","60+")))</f>
        <v>46-60</v>
      </c>
      <c r="I1092" t="str">
        <f>IF(C1092&lt;18.5,"Underweight",IF(C1092&lt;25,"Normal",IF(C1092&lt;30,"Overweight","Obese")))</f>
        <v>Obese</v>
      </c>
      <c r="J1092">
        <f>IF(E1092="yes",1,0)</f>
        <v>1</v>
      </c>
      <c r="K1092" t="str">
        <f>IF(G1092&gt;15000,"High","Low")</f>
        <v>High</v>
      </c>
    </row>
    <row r="1093" spans="1:11" x14ac:dyDescent="0.35">
      <c r="A1093">
        <v>55</v>
      </c>
      <c r="B1093" t="s">
        <v>2</v>
      </c>
      <c r="C1093">
        <v>29.83</v>
      </c>
      <c r="D1093">
        <v>0</v>
      </c>
      <c r="E1093" t="s">
        <v>4</v>
      </c>
      <c r="F1093" t="s">
        <v>6</v>
      </c>
      <c r="G1093" s="2">
        <v>11286.538699999999</v>
      </c>
      <c r="H1093" s="1" t="str">
        <f>IF(A1093&lt;31,"18-30",IF(A1093&lt;46,"31-45",IF(A1093&lt;61,"46-60","60+")))</f>
        <v>46-60</v>
      </c>
      <c r="I1093" t="str">
        <f>IF(C1093&lt;18.5,"Underweight",IF(C1093&lt;25,"Normal",IF(C1093&lt;30,"Overweight","Obese")))</f>
        <v>Overweight</v>
      </c>
      <c r="J1093">
        <f>IF(E1093="yes",1,0)</f>
        <v>0</v>
      </c>
      <c r="K1093" t="str">
        <f>IF(G1093&gt;15000,"High","Low")</f>
        <v>Low</v>
      </c>
    </row>
    <row r="1094" spans="1:11" x14ac:dyDescent="0.35">
      <c r="A1094">
        <v>23</v>
      </c>
      <c r="B1094" t="s">
        <v>7</v>
      </c>
      <c r="C1094">
        <v>32.700000000000003</v>
      </c>
      <c r="D1094">
        <v>3</v>
      </c>
      <c r="E1094" t="s">
        <v>4</v>
      </c>
      <c r="F1094" t="s">
        <v>3</v>
      </c>
      <c r="G1094" s="2">
        <v>3591.48</v>
      </c>
      <c r="H1094" s="1" t="str">
        <f>IF(A1094&lt;31,"18-30",IF(A1094&lt;46,"31-45",IF(A1094&lt;61,"46-60","60+")))</f>
        <v>18-30</v>
      </c>
      <c r="I1094" t="str">
        <f>IF(C1094&lt;18.5,"Underweight",IF(C1094&lt;25,"Normal",IF(C1094&lt;30,"Overweight","Obese")))</f>
        <v>Obese</v>
      </c>
      <c r="J1094">
        <f>IF(E1094="yes",1,0)</f>
        <v>0</v>
      </c>
      <c r="K1094" t="str">
        <f>IF(G1094&gt;15000,"High","Low")</f>
        <v>Low</v>
      </c>
    </row>
    <row r="1095" spans="1:11" x14ac:dyDescent="0.35">
      <c r="A1095">
        <v>22</v>
      </c>
      <c r="B1095" t="s">
        <v>2</v>
      </c>
      <c r="C1095">
        <v>30.4</v>
      </c>
      <c r="D1095">
        <v>0</v>
      </c>
      <c r="E1095" t="s">
        <v>1</v>
      </c>
      <c r="F1095" t="s">
        <v>0</v>
      </c>
      <c r="G1095" s="2">
        <v>33907.548000000003</v>
      </c>
      <c r="H1095" s="1" t="str">
        <f>IF(A1095&lt;31,"18-30",IF(A1095&lt;46,"31-45",IF(A1095&lt;61,"46-60","60+")))</f>
        <v>18-30</v>
      </c>
      <c r="I1095" t="str">
        <f>IF(C1095&lt;18.5,"Underweight",IF(C1095&lt;25,"Normal",IF(C1095&lt;30,"Overweight","Obese")))</f>
        <v>Obese</v>
      </c>
      <c r="J1095">
        <f>IF(E1095="yes",1,0)</f>
        <v>1</v>
      </c>
      <c r="K1095" t="str">
        <f>IF(G1095&gt;15000,"High","Low")</f>
        <v>High</v>
      </c>
    </row>
    <row r="1096" spans="1:11" x14ac:dyDescent="0.35">
      <c r="A1096">
        <v>50</v>
      </c>
      <c r="B1096" t="s">
        <v>2</v>
      </c>
      <c r="C1096">
        <v>33.700000000000003</v>
      </c>
      <c r="D1096">
        <v>4</v>
      </c>
      <c r="E1096" t="s">
        <v>4</v>
      </c>
      <c r="F1096" t="s">
        <v>3</v>
      </c>
      <c r="G1096" s="2">
        <v>11299.343000000001</v>
      </c>
      <c r="H1096" s="1" t="str">
        <f>IF(A1096&lt;31,"18-30",IF(A1096&lt;46,"31-45",IF(A1096&lt;61,"46-60","60+")))</f>
        <v>46-60</v>
      </c>
      <c r="I1096" t="str">
        <f>IF(C1096&lt;18.5,"Underweight",IF(C1096&lt;25,"Normal",IF(C1096&lt;30,"Overweight","Obese")))</f>
        <v>Obese</v>
      </c>
      <c r="J1096">
        <f>IF(E1096="yes",1,0)</f>
        <v>0</v>
      </c>
      <c r="K1096" t="str">
        <f>IF(G1096&gt;15000,"High","Low")</f>
        <v>Low</v>
      </c>
    </row>
    <row r="1097" spans="1:11" x14ac:dyDescent="0.35">
      <c r="A1097">
        <v>18</v>
      </c>
      <c r="B1097" t="s">
        <v>2</v>
      </c>
      <c r="C1097">
        <v>31.35</v>
      </c>
      <c r="D1097">
        <v>4</v>
      </c>
      <c r="E1097" t="s">
        <v>4</v>
      </c>
      <c r="F1097" t="s">
        <v>6</v>
      </c>
      <c r="G1097" s="2">
        <v>4561.1885000000002</v>
      </c>
      <c r="H1097" s="1" t="str">
        <f>IF(A1097&lt;31,"18-30",IF(A1097&lt;46,"31-45",IF(A1097&lt;61,"46-60","60+")))</f>
        <v>18-30</v>
      </c>
      <c r="I1097" t="str">
        <f>IF(C1097&lt;18.5,"Underweight",IF(C1097&lt;25,"Normal",IF(C1097&lt;30,"Overweight","Obese")))</f>
        <v>Obese</v>
      </c>
      <c r="J1097">
        <f>IF(E1097="yes",1,0)</f>
        <v>0</v>
      </c>
      <c r="K1097" t="str">
        <f>IF(G1097&gt;15000,"High","Low")</f>
        <v>Low</v>
      </c>
    </row>
    <row r="1098" spans="1:11" x14ac:dyDescent="0.35">
      <c r="A1098">
        <v>51</v>
      </c>
      <c r="B1098" t="s">
        <v>2</v>
      </c>
      <c r="C1098">
        <v>34.96</v>
      </c>
      <c r="D1098">
        <v>2</v>
      </c>
      <c r="E1098" t="s">
        <v>1</v>
      </c>
      <c r="F1098" t="s">
        <v>6</v>
      </c>
      <c r="G1098" s="2">
        <v>44641.197399999997</v>
      </c>
      <c r="H1098" s="1" t="str">
        <f>IF(A1098&lt;31,"18-30",IF(A1098&lt;46,"31-45",IF(A1098&lt;61,"46-60","60+")))</f>
        <v>46-60</v>
      </c>
      <c r="I1098" t="str">
        <f>IF(C1098&lt;18.5,"Underweight",IF(C1098&lt;25,"Normal",IF(C1098&lt;30,"Overweight","Obese")))</f>
        <v>Obese</v>
      </c>
      <c r="J1098">
        <f>IF(E1098="yes",1,0)</f>
        <v>1</v>
      </c>
      <c r="K1098" t="str">
        <f>IF(G1098&gt;15000,"High","Low")</f>
        <v>High</v>
      </c>
    </row>
    <row r="1099" spans="1:11" x14ac:dyDescent="0.35">
      <c r="A1099">
        <v>22</v>
      </c>
      <c r="B1099" t="s">
        <v>7</v>
      </c>
      <c r="C1099">
        <v>33.770000000000003</v>
      </c>
      <c r="D1099">
        <v>0</v>
      </c>
      <c r="E1099" t="s">
        <v>4</v>
      </c>
      <c r="F1099" t="s">
        <v>5</v>
      </c>
      <c r="G1099" s="2">
        <v>1674.6323</v>
      </c>
      <c r="H1099" s="1" t="str">
        <f>IF(A1099&lt;31,"18-30",IF(A1099&lt;46,"31-45",IF(A1099&lt;61,"46-60","60+")))</f>
        <v>18-30</v>
      </c>
      <c r="I1099" t="str">
        <f>IF(C1099&lt;18.5,"Underweight",IF(C1099&lt;25,"Normal",IF(C1099&lt;30,"Overweight","Obese")))</f>
        <v>Obese</v>
      </c>
      <c r="J1099">
        <f>IF(E1099="yes",1,0)</f>
        <v>0</v>
      </c>
      <c r="K1099" t="str">
        <f>IF(G1099&gt;15000,"High","Low")</f>
        <v>Low</v>
      </c>
    </row>
    <row r="1100" spans="1:11" x14ac:dyDescent="0.35">
      <c r="A1100">
        <v>52</v>
      </c>
      <c r="B1100" t="s">
        <v>2</v>
      </c>
      <c r="C1100">
        <v>30.875</v>
      </c>
      <c r="D1100">
        <v>0</v>
      </c>
      <c r="E1100" t="s">
        <v>4</v>
      </c>
      <c r="F1100" t="s">
        <v>6</v>
      </c>
      <c r="G1100" s="2">
        <v>23045.566159999998</v>
      </c>
      <c r="H1100" s="1" t="str">
        <f>IF(A1100&lt;31,"18-30",IF(A1100&lt;46,"31-45",IF(A1100&lt;61,"46-60","60+")))</f>
        <v>46-60</v>
      </c>
      <c r="I1100" t="str">
        <f>IF(C1100&lt;18.5,"Underweight",IF(C1100&lt;25,"Normal",IF(C1100&lt;30,"Overweight","Obese")))</f>
        <v>Obese</v>
      </c>
      <c r="J1100">
        <f>IF(E1100="yes",1,0)</f>
        <v>0</v>
      </c>
      <c r="K1100" t="str">
        <f>IF(G1100&gt;15000,"High","Low")</f>
        <v>High</v>
      </c>
    </row>
    <row r="1101" spans="1:11" x14ac:dyDescent="0.35">
      <c r="A1101">
        <v>25</v>
      </c>
      <c r="B1101" t="s">
        <v>2</v>
      </c>
      <c r="C1101">
        <v>33.99</v>
      </c>
      <c r="D1101">
        <v>1</v>
      </c>
      <c r="E1101" t="s">
        <v>4</v>
      </c>
      <c r="F1101" t="s">
        <v>5</v>
      </c>
      <c r="G1101" s="2">
        <v>3227.1210999999998</v>
      </c>
      <c r="H1101" s="1" t="str">
        <f>IF(A1101&lt;31,"18-30",IF(A1101&lt;46,"31-45",IF(A1101&lt;61,"46-60","60+")))</f>
        <v>18-30</v>
      </c>
      <c r="I1101" t="str">
        <f>IF(C1101&lt;18.5,"Underweight",IF(C1101&lt;25,"Normal",IF(C1101&lt;30,"Overweight","Obese")))</f>
        <v>Obese</v>
      </c>
      <c r="J1101">
        <f>IF(E1101="yes",1,0)</f>
        <v>0</v>
      </c>
      <c r="K1101" t="str">
        <f>IF(G1101&gt;15000,"High","Low")</f>
        <v>Low</v>
      </c>
    </row>
    <row r="1102" spans="1:11" x14ac:dyDescent="0.35">
      <c r="A1102">
        <v>33</v>
      </c>
      <c r="B1102" t="s">
        <v>2</v>
      </c>
      <c r="C1102">
        <v>19.094999999999999</v>
      </c>
      <c r="D1102">
        <v>2</v>
      </c>
      <c r="E1102" t="s">
        <v>1</v>
      </c>
      <c r="F1102" t="s">
        <v>6</v>
      </c>
      <c r="G1102" s="2">
        <v>16776.304049999999</v>
      </c>
      <c r="H1102" s="1" t="str">
        <f>IF(A1102&lt;31,"18-30",IF(A1102&lt;46,"31-45",IF(A1102&lt;61,"46-60","60+")))</f>
        <v>31-45</v>
      </c>
      <c r="I1102" t="str">
        <f>IF(C1102&lt;18.5,"Underweight",IF(C1102&lt;25,"Normal",IF(C1102&lt;30,"Overweight","Obese")))</f>
        <v>Normal</v>
      </c>
      <c r="J1102">
        <f>IF(E1102="yes",1,0)</f>
        <v>1</v>
      </c>
      <c r="K1102" t="str">
        <f>IF(G1102&gt;15000,"High","Low")</f>
        <v>High</v>
      </c>
    </row>
    <row r="1103" spans="1:11" x14ac:dyDescent="0.35">
      <c r="A1103">
        <v>53</v>
      </c>
      <c r="B1103" t="s">
        <v>7</v>
      </c>
      <c r="C1103">
        <v>28.6</v>
      </c>
      <c r="D1103">
        <v>3</v>
      </c>
      <c r="E1103" t="s">
        <v>4</v>
      </c>
      <c r="F1103" t="s">
        <v>3</v>
      </c>
      <c r="G1103" s="2">
        <v>11253.421</v>
      </c>
      <c r="H1103" s="1" t="str">
        <f>IF(A1103&lt;31,"18-30",IF(A1103&lt;46,"31-45",IF(A1103&lt;61,"46-60","60+")))</f>
        <v>46-60</v>
      </c>
      <c r="I1103" t="str">
        <f>IF(C1103&lt;18.5,"Underweight",IF(C1103&lt;25,"Normal",IF(C1103&lt;30,"Overweight","Obese")))</f>
        <v>Overweight</v>
      </c>
      <c r="J1103">
        <f>IF(E1103="yes",1,0)</f>
        <v>0</v>
      </c>
      <c r="K1103" t="str">
        <f>IF(G1103&gt;15000,"High","Low")</f>
        <v>Low</v>
      </c>
    </row>
    <row r="1104" spans="1:11" x14ac:dyDescent="0.35">
      <c r="A1104">
        <v>29</v>
      </c>
      <c r="B1104" t="s">
        <v>7</v>
      </c>
      <c r="C1104">
        <v>38.94</v>
      </c>
      <c r="D1104">
        <v>1</v>
      </c>
      <c r="E1104" t="s">
        <v>4</v>
      </c>
      <c r="F1104" t="s">
        <v>5</v>
      </c>
      <c r="G1104" s="2">
        <v>3471.4096</v>
      </c>
      <c r="H1104" s="1" t="str">
        <f>IF(A1104&lt;31,"18-30",IF(A1104&lt;46,"31-45",IF(A1104&lt;61,"46-60","60+")))</f>
        <v>18-30</v>
      </c>
      <c r="I1104" t="str">
        <f>IF(C1104&lt;18.5,"Underweight",IF(C1104&lt;25,"Normal",IF(C1104&lt;30,"Overweight","Obese")))</f>
        <v>Obese</v>
      </c>
      <c r="J1104">
        <f>IF(E1104="yes",1,0)</f>
        <v>0</v>
      </c>
      <c r="K1104" t="str">
        <f>IF(G1104&gt;15000,"High","Low")</f>
        <v>Low</v>
      </c>
    </row>
    <row r="1105" spans="1:11" x14ac:dyDescent="0.35">
      <c r="A1105">
        <v>58</v>
      </c>
      <c r="B1105" t="s">
        <v>7</v>
      </c>
      <c r="C1105">
        <v>36.08</v>
      </c>
      <c r="D1105">
        <v>0</v>
      </c>
      <c r="E1105" t="s">
        <v>4</v>
      </c>
      <c r="F1105" t="s">
        <v>5</v>
      </c>
      <c r="G1105" s="2">
        <v>11363.2832</v>
      </c>
      <c r="H1105" s="1" t="str">
        <f>IF(A1105&lt;31,"18-30",IF(A1105&lt;46,"31-45",IF(A1105&lt;61,"46-60","60+")))</f>
        <v>46-60</v>
      </c>
      <c r="I1105" t="str">
        <f>IF(C1105&lt;18.5,"Underweight",IF(C1105&lt;25,"Normal",IF(C1105&lt;30,"Overweight","Obese")))</f>
        <v>Obese</v>
      </c>
      <c r="J1105">
        <f>IF(E1105="yes",1,0)</f>
        <v>0</v>
      </c>
      <c r="K1105" t="str">
        <f>IF(G1105&gt;15000,"High","Low")</f>
        <v>Low</v>
      </c>
    </row>
    <row r="1106" spans="1:11" x14ac:dyDescent="0.35">
      <c r="A1106">
        <v>37</v>
      </c>
      <c r="B1106" t="s">
        <v>7</v>
      </c>
      <c r="C1106">
        <v>29.8</v>
      </c>
      <c r="D1106">
        <v>0</v>
      </c>
      <c r="E1106" t="s">
        <v>4</v>
      </c>
      <c r="F1106" t="s">
        <v>3</v>
      </c>
      <c r="G1106" s="2">
        <v>20420.604650000001</v>
      </c>
      <c r="H1106" s="1" t="str">
        <f>IF(A1106&lt;31,"18-30",IF(A1106&lt;46,"31-45",IF(A1106&lt;61,"46-60","60+")))</f>
        <v>31-45</v>
      </c>
      <c r="I1106" t="str">
        <f>IF(C1106&lt;18.5,"Underweight",IF(C1106&lt;25,"Normal",IF(C1106&lt;30,"Overweight","Obese")))</f>
        <v>Overweight</v>
      </c>
      <c r="J1106">
        <f>IF(E1106="yes",1,0)</f>
        <v>0</v>
      </c>
      <c r="K1106" t="str">
        <f>IF(G1106&gt;15000,"High","Low")</f>
        <v>High</v>
      </c>
    </row>
    <row r="1107" spans="1:11" x14ac:dyDescent="0.35">
      <c r="A1107">
        <v>54</v>
      </c>
      <c r="B1107" t="s">
        <v>2</v>
      </c>
      <c r="C1107">
        <v>31.24</v>
      </c>
      <c r="D1107">
        <v>0</v>
      </c>
      <c r="E1107" t="s">
        <v>4</v>
      </c>
      <c r="F1107" t="s">
        <v>5</v>
      </c>
      <c r="G1107" s="2">
        <v>10338.9316</v>
      </c>
      <c r="H1107" s="1" t="str">
        <f>IF(A1107&lt;31,"18-30",IF(A1107&lt;46,"31-45",IF(A1107&lt;61,"46-60","60+")))</f>
        <v>46-60</v>
      </c>
      <c r="I1107" t="str">
        <f>IF(C1107&lt;18.5,"Underweight",IF(C1107&lt;25,"Normal",IF(C1107&lt;30,"Overweight","Obese")))</f>
        <v>Obese</v>
      </c>
      <c r="J1107">
        <f>IF(E1107="yes",1,0)</f>
        <v>0</v>
      </c>
      <c r="K1107" t="str">
        <f>IF(G1107&gt;15000,"High","Low")</f>
        <v>Low</v>
      </c>
    </row>
    <row r="1108" spans="1:11" x14ac:dyDescent="0.35">
      <c r="A1108">
        <v>49</v>
      </c>
      <c r="B1108" t="s">
        <v>2</v>
      </c>
      <c r="C1108">
        <v>29.925000000000001</v>
      </c>
      <c r="D1108">
        <v>0</v>
      </c>
      <c r="E1108" t="s">
        <v>4</v>
      </c>
      <c r="F1108" t="s">
        <v>0</v>
      </c>
      <c r="G1108" s="2">
        <v>8988.1587500000005</v>
      </c>
      <c r="H1108" s="1" t="str">
        <f>IF(A1108&lt;31,"18-30",IF(A1108&lt;46,"31-45",IF(A1108&lt;61,"46-60","60+")))</f>
        <v>46-60</v>
      </c>
      <c r="I1108" t="str">
        <f>IF(C1108&lt;18.5,"Underweight",IF(C1108&lt;25,"Normal",IF(C1108&lt;30,"Overweight","Obese")))</f>
        <v>Overweight</v>
      </c>
      <c r="J1108">
        <f>IF(E1108="yes",1,0)</f>
        <v>0</v>
      </c>
      <c r="K1108" t="str">
        <f>IF(G1108&gt;15000,"High","Low")</f>
        <v>Low</v>
      </c>
    </row>
    <row r="1109" spans="1:11" x14ac:dyDescent="0.35">
      <c r="A1109">
        <v>50</v>
      </c>
      <c r="B1109" t="s">
        <v>2</v>
      </c>
      <c r="C1109">
        <v>26.22</v>
      </c>
      <c r="D1109">
        <v>2</v>
      </c>
      <c r="E1109" t="s">
        <v>4</v>
      </c>
      <c r="F1109" t="s">
        <v>0</v>
      </c>
      <c r="G1109" s="2">
        <v>10493.9458</v>
      </c>
      <c r="H1109" s="1" t="str">
        <f>IF(A1109&lt;31,"18-30",IF(A1109&lt;46,"31-45",IF(A1109&lt;61,"46-60","60+")))</f>
        <v>46-60</v>
      </c>
      <c r="I1109" t="str">
        <f>IF(C1109&lt;18.5,"Underweight",IF(C1109&lt;25,"Normal",IF(C1109&lt;30,"Overweight","Obese")))</f>
        <v>Overweight</v>
      </c>
      <c r="J1109">
        <f>IF(E1109="yes",1,0)</f>
        <v>0</v>
      </c>
      <c r="K1109" t="str">
        <f>IF(G1109&gt;15000,"High","Low")</f>
        <v>Low</v>
      </c>
    </row>
    <row r="1110" spans="1:11" x14ac:dyDescent="0.35">
      <c r="A1110">
        <v>26</v>
      </c>
      <c r="B1110" t="s">
        <v>7</v>
      </c>
      <c r="C1110">
        <v>30</v>
      </c>
      <c r="D1110">
        <v>1</v>
      </c>
      <c r="E1110" t="s">
        <v>4</v>
      </c>
      <c r="F1110" t="s">
        <v>3</v>
      </c>
      <c r="G1110" s="2">
        <v>2904.0880000000002</v>
      </c>
      <c r="H1110" s="1" t="str">
        <f>IF(A1110&lt;31,"18-30",IF(A1110&lt;46,"31-45",IF(A1110&lt;61,"46-60","60+")))</f>
        <v>18-30</v>
      </c>
      <c r="I1110" t="str">
        <f>IF(C1110&lt;18.5,"Underweight",IF(C1110&lt;25,"Normal",IF(C1110&lt;30,"Overweight","Obese")))</f>
        <v>Obese</v>
      </c>
      <c r="J1110">
        <f>IF(E1110="yes",1,0)</f>
        <v>0</v>
      </c>
      <c r="K1110" t="str">
        <f>IF(G1110&gt;15000,"High","Low")</f>
        <v>Low</v>
      </c>
    </row>
    <row r="1111" spans="1:11" x14ac:dyDescent="0.35">
      <c r="A1111">
        <v>45</v>
      </c>
      <c r="B1111" t="s">
        <v>7</v>
      </c>
      <c r="C1111">
        <v>20.350000000000001</v>
      </c>
      <c r="D1111">
        <v>3</v>
      </c>
      <c r="E1111" t="s">
        <v>4</v>
      </c>
      <c r="F1111" t="s">
        <v>5</v>
      </c>
      <c r="G1111" s="2">
        <v>8605.3615000000009</v>
      </c>
      <c r="H1111" s="1" t="str">
        <f>IF(A1111&lt;31,"18-30",IF(A1111&lt;46,"31-45",IF(A1111&lt;61,"46-60","60+")))</f>
        <v>31-45</v>
      </c>
      <c r="I1111" t="str">
        <f>IF(C1111&lt;18.5,"Underweight",IF(C1111&lt;25,"Normal",IF(C1111&lt;30,"Overweight","Obese")))</f>
        <v>Normal</v>
      </c>
      <c r="J1111">
        <f>IF(E1111="yes",1,0)</f>
        <v>0</v>
      </c>
      <c r="K1111" t="str">
        <f>IF(G1111&gt;15000,"High","Low")</f>
        <v>Low</v>
      </c>
    </row>
    <row r="1112" spans="1:11" x14ac:dyDescent="0.35">
      <c r="A1112">
        <v>54</v>
      </c>
      <c r="B1112" t="s">
        <v>2</v>
      </c>
      <c r="C1112">
        <v>32.299999999999997</v>
      </c>
      <c r="D1112">
        <v>1</v>
      </c>
      <c r="E1112" t="s">
        <v>4</v>
      </c>
      <c r="F1112" t="s">
        <v>6</v>
      </c>
      <c r="G1112" s="2">
        <v>11512.405000000001</v>
      </c>
      <c r="H1112" s="1" t="str">
        <f>IF(A1112&lt;31,"18-30",IF(A1112&lt;46,"31-45",IF(A1112&lt;61,"46-60","60+")))</f>
        <v>46-60</v>
      </c>
      <c r="I1112" t="str">
        <f>IF(C1112&lt;18.5,"Underweight",IF(C1112&lt;25,"Normal",IF(C1112&lt;30,"Overweight","Obese")))</f>
        <v>Obese</v>
      </c>
      <c r="J1112">
        <f>IF(E1112="yes",1,0)</f>
        <v>0</v>
      </c>
      <c r="K1112" t="str">
        <f>IF(G1112&gt;15000,"High","Low")</f>
        <v>Low</v>
      </c>
    </row>
    <row r="1113" spans="1:11" x14ac:dyDescent="0.35">
      <c r="A1113">
        <v>38</v>
      </c>
      <c r="B1113" t="s">
        <v>7</v>
      </c>
      <c r="C1113">
        <v>38.39</v>
      </c>
      <c r="D1113">
        <v>3</v>
      </c>
      <c r="E1113" t="s">
        <v>1</v>
      </c>
      <c r="F1113" t="s">
        <v>5</v>
      </c>
      <c r="G1113" s="2">
        <v>41949.244100000004</v>
      </c>
      <c r="H1113" s="1" t="str">
        <f>IF(A1113&lt;31,"18-30",IF(A1113&lt;46,"31-45",IF(A1113&lt;61,"46-60","60+")))</f>
        <v>31-45</v>
      </c>
      <c r="I1113" t="str">
        <f>IF(C1113&lt;18.5,"Underweight",IF(C1113&lt;25,"Normal",IF(C1113&lt;30,"Overweight","Obese")))</f>
        <v>Obese</v>
      </c>
      <c r="J1113">
        <f>IF(E1113="yes",1,0)</f>
        <v>1</v>
      </c>
      <c r="K1113" t="str">
        <f>IF(G1113&gt;15000,"High","Low")</f>
        <v>High</v>
      </c>
    </row>
    <row r="1114" spans="1:11" x14ac:dyDescent="0.35">
      <c r="A1114">
        <v>48</v>
      </c>
      <c r="B1114" t="s">
        <v>2</v>
      </c>
      <c r="C1114">
        <v>25.85</v>
      </c>
      <c r="D1114">
        <v>3</v>
      </c>
      <c r="E1114" t="s">
        <v>1</v>
      </c>
      <c r="F1114" t="s">
        <v>5</v>
      </c>
      <c r="G1114" s="2">
        <v>24180.933499999999</v>
      </c>
      <c r="H1114" s="1" t="str">
        <f>IF(A1114&lt;31,"18-30",IF(A1114&lt;46,"31-45",IF(A1114&lt;61,"46-60","60+")))</f>
        <v>46-60</v>
      </c>
      <c r="I1114" t="str">
        <f>IF(C1114&lt;18.5,"Underweight",IF(C1114&lt;25,"Normal",IF(C1114&lt;30,"Overweight","Obese")))</f>
        <v>Overweight</v>
      </c>
      <c r="J1114">
        <f>IF(E1114="yes",1,0)</f>
        <v>1</v>
      </c>
      <c r="K1114" t="str">
        <f>IF(G1114&gt;15000,"High","Low")</f>
        <v>High</v>
      </c>
    </row>
    <row r="1115" spans="1:11" x14ac:dyDescent="0.35">
      <c r="A1115">
        <v>28</v>
      </c>
      <c r="B1115" t="s">
        <v>2</v>
      </c>
      <c r="C1115">
        <v>26.315000000000001</v>
      </c>
      <c r="D1115">
        <v>3</v>
      </c>
      <c r="E1115" t="s">
        <v>4</v>
      </c>
      <c r="F1115" t="s">
        <v>0</v>
      </c>
      <c r="G1115" s="2">
        <v>5312.1698500000002</v>
      </c>
      <c r="H1115" s="1" t="str">
        <f>IF(A1115&lt;31,"18-30",IF(A1115&lt;46,"31-45",IF(A1115&lt;61,"46-60","60+")))</f>
        <v>18-30</v>
      </c>
      <c r="I1115" t="str">
        <f>IF(C1115&lt;18.5,"Underweight",IF(C1115&lt;25,"Normal",IF(C1115&lt;30,"Overweight","Obese")))</f>
        <v>Overweight</v>
      </c>
      <c r="J1115">
        <f>IF(E1115="yes",1,0)</f>
        <v>0</v>
      </c>
      <c r="K1115" t="str">
        <f>IF(G1115&gt;15000,"High","Low")</f>
        <v>Low</v>
      </c>
    </row>
    <row r="1116" spans="1:11" x14ac:dyDescent="0.35">
      <c r="A1116">
        <v>23</v>
      </c>
      <c r="B1116" t="s">
        <v>7</v>
      </c>
      <c r="C1116">
        <v>24.51</v>
      </c>
      <c r="D1116">
        <v>0</v>
      </c>
      <c r="E1116" t="s">
        <v>4</v>
      </c>
      <c r="F1116" t="s">
        <v>6</v>
      </c>
      <c r="G1116" s="2">
        <v>2396.0958999999998</v>
      </c>
      <c r="H1116" s="1" t="str">
        <f>IF(A1116&lt;31,"18-30",IF(A1116&lt;46,"31-45",IF(A1116&lt;61,"46-60","60+")))</f>
        <v>18-30</v>
      </c>
      <c r="I1116" t="str">
        <f>IF(C1116&lt;18.5,"Underweight",IF(C1116&lt;25,"Normal",IF(C1116&lt;30,"Overweight","Obese")))</f>
        <v>Normal</v>
      </c>
      <c r="J1116">
        <f>IF(E1116="yes",1,0)</f>
        <v>0</v>
      </c>
      <c r="K1116" t="str">
        <f>IF(G1116&gt;15000,"High","Low")</f>
        <v>Low</v>
      </c>
    </row>
    <row r="1117" spans="1:11" x14ac:dyDescent="0.35">
      <c r="A1117">
        <v>55</v>
      </c>
      <c r="B1117" t="s">
        <v>7</v>
      </c>
      <c r="C1117">
        <v>32.67</v>
      </c>
      <c r="D1117">
        <v>1</v>
      </c>
      <c r="E1117" t="s">
        <v>4</v>
      </c>
      <c r="F1117" t="s">
        <v>5</v>
      </c>
      <c r="G1117" s="2">
        <v>10807.4863</v>
      </c>
      <c r="H1117" s="1" t="str">
        <f>IF(A1117&lt;31,"18-30",IF(A1117&lt;46,"31-45",IF(A1117&lt;61,"46-60","60+")))</f>
        <v>46-60</v>
      </c>
      <c r="I1117" t="str">
        <f>IF(C1117&lt;18.5,"Underweight",IF(C1117&lt;25,"Normal",IF(C1117&lt;30,"Overweight","Obese")))</f>
        <v>Obese</v>
      </c>
      <c r="J1117">
        <f>IF(E1117="yes",1,0)</f>
        <v>0</v>
      </c>
      <c r="K1117" t="str">
        <f>IF(G1117&gt;15000,"High","Low")</f>
        <v>Low</v>
      </c>
    </row>
    <row r="1118" spans="1:11" x14ac:dyDescent="0.35">
      <c r="A1118">
        <v>41</v>
      </c>
      <c r="B1118" t="s">
        <v>7</v>
      </c>
      <c r="C1118">
        <v>29.64</v>
      </c>
      <c r="D1118">
        <v>5</v>
      </c>
      <c r="E1118" t="s">
        <v>4</v>
      </c>
      <c r="F1118" t="s">
        <v>6</v>
      </c>
      <c r="G1118" s="2">
        <v>9222.4025999999994</v>
      </c>
      <c r="H1118" s="1" t="str">
        <f>IF(A1118&lt;31,"18-30",IF(A1118&lt;46,"31-45",IF(A1118&lt;61,"46-60","60+")))</f>
        <v>31-45</v>
      </c>
      <c r="I1118" t="str">
        <f>IF(C1118&lt;18.5,"Underweight",IF(C1118&lt;25,"Normal",IF(C1118&lt;30,"Overweight","Obese")))</f>
        <v>Overweight</v>
      </c>
      <c r="J1118">
        <f>IF(E1118="yes",1,0)</f>
        <v>0</v>
      </c>
      <c r="K1118" t="str">
        <f>IF(G1118&gt;15000,"High","Low")</f>
        <v>Low</v>
      </c>
    </row>
    <row r="1119" spans="1:11" x14ac:dyDescent="0.35">
      <c r="A1119">
        <v>25</v>
      </c>
      <c r="B1119" t="s">
        <v>7</v>
      </c>
      <c r="C1119">
        <v>33.33</v>
      </c>
      <c r="D1119">
        <v>2</v>
      </c>
      <c r="E1119" t="s">
        <v>1</v>
      </c>
      <c r="F1119" t="s">
        <v>5</v>
      </c>
      <c r="G1119" s="2">
        <v>36124.573700000001</v>
      </c>
      <c r="H1119" s="1" t="str">
        <f>IF(A1119&lt;31,"18-30",IF(A1119&lt;46,"31-45",IF(A1119&lt;61,"46-60","60+")))</f>
        <v>18-30</v>
      </c>
      <c r="I1119" t="str">
        <f>IF(C1119&lt;18.5,"Underweight",IF(C1119&lt;25,"Normal",IF(C1119&lt;30,"Overweight","Obese")))</f>
        <v>Obese</v>
      </c>
      <c r="J1119">
        <f>IF(E1119="yes",1,0)</f>
        <v>1</v>
      </c>
      <c r="K1119" t="str">
        <f>IF(G1119&gt;15000,"High","Low")</f>
        <v>High</v>
      </c>
    </row>
    <row r="1120" spans="1:11" x14ac:dyDescent="0.35">
      <c r="A1120">
        <v>33</v>
      </c>
      <c r="B1120" t="s">
        <v>7</v>
      </c>
      <c r="C1120">
        <v>35.75</v>
      </c>
      <c r="D1120">
        <v>1</v>
      </c>
      <c r="E1120" t="s">
        <v>1</v>
      </c>
      <c r="F1120" t="s">
        <v>5</v>
      </c>
      <c r="G1120" s="2">
        <v>38282.749499999998</v>
      </c>
      <c r="H1120" s="1" t="str">
        <f>IF(A1120&lt;31,"18-30",IF(A1120&lt;46,"31-45",IF(A1120&lt;61,"46-60","60+")))</f>
        <v>31-45</v>
      </c>
      <c r="I1120" t="str">
        <f>IF(C1120&lt;18.5,"Underweight",IF(C1120&lt;25,"Normal",IF(C1120&lt;30,"Overweight","Obese")))</f>
        <v>Obese</v>
      </c>
      <c r="J1120">
        <f>IF(E1120="yes",1,0)</f>
        <v>1</v>
      </c>
      <c r="K1120" t="str">
        <f>IF(G1120&gt;15000,"High","Low")</f>
        <v>High</v>
      </c>
    </row>
    <row r="1121" spans="1:11" x14ac:dyDescent="0.35">
      <c r="A1121">
        <v>30</v>
      </c>
      <c r="B1121" t="s">
        <v>2</v>
      </c>
      <c r="C1121">
        <v>19.95</v>
      </c>
      <c r="D1121">
        <v>3</v>
      </c>
      <c r="E1121" t="s">
        <v>4</v>
      </c>
      <c r="F1121" t="s">
        <v>0</v>
      </c>
      <c r="G1121" s="2">
        <v>5693.4305000000004</v>
      </c>
      <c r="H1121" s="1" t="str">
        <f>IF(A1121&lt;31,"18-30",IF(A1121&lt;46,"31-45",IF(A1121&lt;61,"46-60","60+")))</f>
        <v>18-30</v>
      </c>
      <c r="I1121" t="str">
        <f>IF(C1121&lt;18.5,"Underweight",IF(C1121&lt;25,"Normal",IF(C1121&lt;30,"Overweight","Obese")))</f>
        <v>Normal</v>
      </c>
      <c r="J1121">
        <f>IF(E1121="yes",1,0)</f>
        <v>0</v>
      </c>
      <c r="K1121" t="str">
        <f>IF(G1121&gt;15000,"High","Low")</f>
        <v>Low</v>
      </c>
    </row>
    <row r="1122" spans="1:11" x14ac:dyDescent="0.35">
      <c r="A1122">
        <v>23</v>
      </c>
      <c r="B1122" t="s">
        <v>2</v>
      </c>
      <c r="C1122">
        <v>31.4</v>
      </c>
      <c r="D1122">
        <v>0</v>
      </c>
      <c r="E1122" t="s">
        <v>1</v>
      </c>
      <c r="F1122" t="s">
        <v>3</v>
      </c>
      <c r="G1122" s="2">
        <v>34166.273000000001</v>
      </c>
      <c r="H1122" s="1" t="str">
        <f>IF(A1122&lt;31,"18-30",IF(A1122&lt;46,"31-45",IF(A1122&lt;61,"46-60","60+")))</f>
        <v>18-30</v>
      </c>
      <c r="I1122" t="str">
        <f>IF(C1122&lt;18.5,"Underweight",IF(C1122&lt;25,"Normal",IF(C1122&lt;30,"Overweight","Obese")))</f>
        <v>Obese</v>
      </c>
      <c r="J1122">
        <f>IF(E1122="yes",1,0)</f>
        <v>1</v>
      </c>
      <c r="K1122" t="str">
        <f>IF(G1122&gt;15000,"High","Low")</f>
        <v>High</v>
      </c>
    </row>
    <row r="1123" spans="1:11" x14ac:dyDescent="0.35">
      <c r="A1123">
        <v>46</v>
      </c>
      <c r="B1123" t="s">
        <v>7</v>
      </c>
      <c r="C1123">
        <v>38.17</v>
      </c>
      <c r="D1123">
        <v>2</v>
      </c>
      <c r="E1123" t="s">
        <v>4</v>
      </c>
      <c r="F1123" t="s">
        <v>5</v>
      </c>
      <c r="G1123" s="2">
        <v>8347.1643000000004</v>
      </c>
      <c r="H1123" s="1" t="str">
        <f>IF(A1123&lt;31,"18-30",IF(A1123&lt;46,"31-45",IF(A1123&lt;61,"46-60","60+")))</f>
        <v>46-60</v>
      </c>
      <c r="I1123" t="str">
        <f>IF(C1123&lt;18.5,"Underweight",IF(C1123&lt;25,"Normal",IF(C1123&lt;30,"Overweight","Obese")))</f>
        <v>Obese</v>
      </c>
      <c r="J1123">
        <f>IF(E1123="yes",1,0)</f>
        <v>0</v>
      </c>
      <c r="K1123" t="str">
        <f>IF(G1123&gt;15000,"High","Low")</f>
        <v>Low</v>
      </c>
    </row>
    <row r="1124" spans="1:11" x14ac:dyDescent="0.35">
      <c r="A1124">
        <v>53</v>
      </c>
      <c r="B1124" t="s">
        <v>2</v>
      </c>
      <c r="C1124">
        <v>36.86</v>
      </c>
      <c r="D1124">
        <v>3</v>
      </c>
      <c r="E1124" t="s">
        <v>1</v>
      </c>
      <c r="F1124" t="s">
        <v>0</v>
      </c>
      <c r="G1124" s="2">
        <v>46661.4424</v>
      </c>
      <c r="H1124" s="1" t="str">
        <f>IF(A1124&lt;31,"18-30",IF(A1124&lt;46,"31-45",IF(A1124&lt;61,"46-60","60+")))</f>
        <v>46-60</v>
      </c>
      <c r="I1124" t="str">
        <f>IF(C1124&lt;18.5,"Underweight",IF(C1124&lt;25,"Normal",IF(C1124&lt;30,"Overweight","Obese")))</f>
        <v>Obese</v>
      </c>
      <c r="J1124">
        <f>IF(E1124="yes",1,0)</f>
        <v>1</v>
      </c>
      <c r="K1124" t="str">
        <f>IF(G1124&gt;15000,"High","Low")</f>
        <v>High</v>
      </c>
    </row>
    <row r="1125" spans="1:11" x14ac:dyDescent="0.35">
      <c r="A1125">
        <v>27</v>
      </c>
      <c r="B1125" t="s">
        <v>2</v>
      </c>
      <c r="C1125">
        <v>32.395000000000003</v>
      </c>
      <c r="D1125">
        <v>1</v>
      </c>
      <c r="E1125" t="s">
        <v>4</v>
      </c>
      <c r="F1125" t="s">
        <v>6</v>
      </c>
      <c r="G1125" s="2">
        <v>18903.491409999999</v>
      </c>
      <c r="H1125" s="1" t="str">
        <f>IF(A1125&lt;31,"18-30",IF(A1125&lt;46,"31-45",IF(A1125&lt;61,"46-60","60+")))</f>
        <v>18-30</v>
      </c>
      <c r="I1125" t="str">
        <f>IF(C1125&lt;18.5,"Underweight",IF(C1125&lt;25,"Normal",IF(C1125&lt;30,"Overweight","Obese")))</f>
        <v>Obese</v>
      </c>
      <c r="J1125">
        <f>IF(E1125="yes",1,0)</f>
        <v>0</v>
      </c>
      <c r="K1125" t="str">
        <f>IF(G1125&gt;15000,"High","Low")</f>
        <v>High</v>
      </c>
    </row>
    <row r="1126" spans="1:11" x14ac:dyDescent="0.35">
      <c r="A1126">
        <v>23</v>
      </c>
      <c r="B1126" t="s">
        <v>2</v>
      </c>
      <c r="C1126">
        <v>42.75</v>
      </c>
      <c r="D1126">
        <v>1</v>
      </c>
      <c r="E1126" t="s">
        <v>1</v>
      </c>
      <c r="F1126" t="s">
        <v>6</v>
      </c>
      <c r="G1126" s="2">
        <v>40904.199500000002</v>
      </c>
      <c r="H1126" s="1" t="str">
        <f>IF(A1126&lt;31,"18-30",IF(A1126&lt;46,"31-45",IF(A1126&lt;61,"46-60","60+")))</f>
        <v>18-30</v>
      </c>
      <c r="I1126" t="str">
        <f>IF(C1126&lt;18.5,"Underweight",IF(C1126&lt;25,"Normal",IF(C1126&lt;30,"Overweight","Obese")))</f>
        <v>Obese</v>
      </c>
      <c r="J1126">
        <f>IF(E1126="yes",1,0)</f>
        <v>1</v>
      </c>
      <c r="K1126" t="str">
        <f>IF(G1126&gt;15000,"High","Low")</f>
        <v>High</v>
      </c>
    </row>
    <row r="1127" spans="1:11" x14ac:dyDescent="0.35">
      <c r="A1127">
        <v>63</v>
      </c>
      <c r="B1127" t="s">
        <v>2</v>
      </c>
      <c r="C1127">
        <v>25.08</v>
      </c>
      <c r="D1127">
        <v>0</v>
      </c>
      <c r="E1127" t="s">
        <v>4</v>
      </c>
      <c r="F1127" t="s">
        <v>0</v>
      </c>
      <c r="G1127" s="2">
        <v>14254.608200000001</v>
      </c>
      <c r="H1127" s="1" t="str">
        <f>IF(A1127&lt;31,"18-30",IF(A1127&lt;46,"31-45",IF(A1127&lt;61,"46-60","60+")))</f>
        <v>60+</v>
      </c>
      <c r="I1127" t="str">
        <f>IF(C1127&lt;18.5,"Underweight",IF(C1127&lt;25,"Normal",IF(C1127&lt;30,"Overweight","Obese")))</f>
        <v>Overweight</v>
      </c>
      <c r="J1127">
        <f>IF(E1127="yes",1,0)</f>
        <v>0</v>
      </c>
      <c r="K1127" t="str">
        <f>IF(G1127&gt;15000,"High","Low")</f>
        <v>Low</v>
      </c>
    </row>
    <row r="1128" spans="1:11" x14ac:dyDescent="0.35">
      <c r="A1128">
        <v>55</v>
      </c>
      <c r="B1128" t="s">
        <v>7</v>
      </c>
      <c r="C1128">
        <v>29.9</v>
      </c>
      <c r="D1128">
        <v>0</v>
      </c>
      <c r="E1128" t="s">
        <v>4</v>
      </c>
      <c r="F1128" t="s">
        <v>3</v>
      </c>
      <c r="G1128" s="2">
        <v>10214.636</v>
      </c>
      <c r="H1128" s="1" t="str">
        <f>IF(A1128&lt;31,"18-30",IF(A1128&lt;46,"31-45",IF(A1128&lt;61,"46-60","60+")))</f>
        <v>46-60</v>
      </c>
      <c r="I1128" t="str">
        <f>IF(C1128&lt;18.5,"Underweight",IF(C1128&lt;25,"Normal",IF(C1128&lt;30,"Overweight","Obese")))</f>
        <v>Overweight</v>
      </c>
      <c r="J1128">
        <f>IF(E1128="yes",1,0)</f>
        <v>0</v>
      </c>
      <c r="K1128" t="str">
        <f>IF(G1128&gt;15000,"High","Low")</f>
        <v>Low</v>
      </c>
    </row>
    <row r="1129" spans="1:11" x14ac:dyDescent="0.35">
      <c r="A1129">
        <v>35</v>
      </c>
      <c r="B1129" t="s">
        <v>2</v>
      </c>
      <c r="C1129">
        <v>35.86</v>
      </c>
      <c r="D1129">
        <v>2</v>
      </c>
      <c r="E1129" t="s">
        <v>4</v>
      </c>
      <c r="F1129" t="s">
        <v>5</v>
      </c>
      <c r="G1129" s="2">
        <v>5836.5204000000003</v>
      </c>
      <c r="H1129" s="1" t="str">
        <f>IF(A1129&lt;31,"18-30",IF(A1129&lt;46,"31-45",IF(A1129&lt;61,"46-60","60+")))</f>
        <v>31-45</v>
      </c>
      <c r="I1129" t="str">
        <f>IF(C1129&lt;18.5,"Underweight",IF(C1129&lt;25,"Normal",IF(C1129&lt;30,"Overweight","Obese")))</f>
        <v>Obese</v>
      </c>
      <c r="J1129">
        <f>IF(E1129="yes",1,0)</f>
        <v>0</v>
      </c>
      <c r="K1129" t="str">
        <f>IF(G1129&gt;15000,"High","Low")</f>
        <v>Low</v>
      </c>
    </row>
    <row r="1130" spans="1:11" x14ac:dyDescent="0.35">
      <c r="A1130">
        <v>34</v>
      </c>
      <c r="B1130" t="s">
        <v>7</v>
      </c>
      <c r="C1130">
        <v>32.799999999999997</v>
      </c>
      <c r="D1130">
        <v>1</v>
      </c>
      <c r="E1130" t="s">
        <v>4</v>
      </c>
      <c r="F1130" t="s">
        <v>3</v>
      </c>
      <c r="G1130" s="2">
        <v>14358.364369999999</v>
      </c>
      <c r="H1130" s="1" t="str">
        <f>IF(A1130&lt;31,"18-30",IF(A1130&lt;46,"31-45",IF(A1130&lt;61,"46-60","60+")))</f>
        <v>31-45</v>
      </c>
      <c r="I1130" t="str">
        <f>IF(C1130&lt;18.5,"Underweight",IF(C1130&lt;25,"Normal",IF(C1130&lt;30,"Overweight","Obese")))</f>
        <v>Obese</v>
      </c>
      <c r="J1130">
        <f>IF(E1130="yes",1,0)</f>
        <v>0</v>
      </c>
      <c r="K1130" t="str">
        <f>IF(G1130&gt;15000,"High","Low")</f>
        <v>Low</v>
      </c>
    </row>
    <row r="1131" spans="1:11" x14ac:dyDescent="0.35">
      <c r="A1131">
        <v>19</v>
      </c>
      <c r="B1131" t="s">
        <v>2</v>
      </c>
      <c r="C1131">
        <v>18.600000000000001</v>
      </c>
      <c r="D1131">
        <v>0</v>
      </c>
      <c r="E1131" t="s">
        <v>4</v>
      </c>
      <c r="F1131" t="s">
        <v>3</v>
      </c>
      <c r="G1131" s="2">
        <v>1728.8969999999999</v>
      </c>
      <c r="H1131" s="1" t="str">
        <f>IF(A1131&lt;31,"18-30",IF(A1131&lt;46,"31-45",IF(A1131&lt;61,"46-60","60+")))</f>
        <v>18-30</v>
      </c>
      <c r="I1131" t="str">
        <f>IF(C1131&lt;18.5,"Underweight",IF(C1131&lt;25,"Normal",IF(C1131&lt;30,"Overweight","Obese")))</f>
        <v>Normal</v>
      </c>
      <c r="J1131">
        <f>IF(E1131="yes",1,0)</f>
        <v>0</v>
      </c>
      <c r="K1131" t="str">
        <f>IF(G1131&gt;15000,"High","Low")</f>
        <v>Low</v>
      </c>
    </row>
    <row r="1132" spans="1:11" x14ac:dyDescent="0.35">
      <c r="A1132">
        <v>39</v>
      </c>
      <c r="B1132" t="s">
        <v>2</v>
      </c>
      <c r="C1132">
        <v>23.87</v>
      </c>
      <c r="D1132">
        <v>5</v>
      </c>
      <c r="E1132" t="s">
        <v>4</v>
      </c>
      <c r="F1132" t="s">
        <v>5</v>
      </c>
      <c r="G1132" s="2">
        <v>8582.3022999999994</v>
      </c>
      <c r="H1132" s="1" t="str">
        <f>IF(A1132&lt;31,"18-30",IF(A1132&lt;46,"31-45",IF(A1132&lt;61,"46-60","60+")))</f>
        <v>31-45</v>
      </c>
      <c r="I1132" t="str">
        <f>IF(C1132&lt;18.5,"Underweight",IF(C1132&lt;25,"Normal",IF(C1132&lt;30,"Overweight","Obese")))</f>
        <v>Normal</v>
      </c>
      <c r="J1132">
        <f>IF(E1132="yes",1,0)</f>
        <v>0</v>
      </c>
      <c r="K1132" t="str">
        <f>IF(G1132&gt;15000,"High","Low")</f>
        <v>Low</v>
      </c>
    </row>
    <row r="1133" spans="1:11" x14ac:dyDescent="0.35">
      <c r="A1133">
        <v>27</v>
      </c>
      <c r="B1133" t="s">
        <v>7</v>
      </c>
      <c r="C1133">
        <v>45.9</v>
      </c>
      <c r="D1133">
        <v>2</v>
      </c>
      <c r="E1133" t="s">
        <v>4</v>
      </c>
      <c r="F1133" t="s">
        <v>3</v>
      </c>
      <c r="G1133" s="2">
        <v>3693.4279999999999</v>
      </c>
      <c r="H1133" s="1" t="str">
        <f>IF(A1133&lt;31,"18-30",IF(A1133&lt;46,"31-45",IF(A1133&lt;61,"46-60","60+")))</f>
        <v>18-30</v>
      </c>
      <c r="I1133" t="str">
        <f>IF(C1133&lt;18.5,"Underweight",IF(C1133&lt;25,"Normal",IF(C1133&lt;30,"Overweight","Obese")))</f>
        <v>Obese</v>
      </c>
      <c r="J1133">
        <f>IF(E1133="yes",1,0)</f>
        <v>0</v>
      </c>
      <c r="K1133" t="str">
        <f>IF(G1133&gt;15000,"High","Low")</f>
        <v>Low</v>
      </c>
    </row>
    <row r="1134" spans="1:11" x14ac:dyDescent="0.35">
      <c r="A1134">
        <v>57</v>
      </c>
      <c r="B1134" t="s">
        <v>7</v>
      </c>
      <c r="C1134">
        <v>40.28</v>
      </c>
      <c r="D1134">
        <v>0</v>
      </c>
      <c r="E1134" t="s">
        <v>4</v>
      </c>
      <c r="F1134" t="s">
        <v>6</v>
      </c>
      <c r="G1134" s="2">
        <v>20709.020339999999</v>
      </c>
      <c r="H1134" s="1" t="str">
        <f>IF(A1134&lt;31,"18-30",IF(A1134&lt;46,"31-45",IF(A1134&lt;61,"46-60","60+")))</f>
        <v>46-60</v>
      </c>
      <c r="I1134" t="str">
        <f>IF(C1134&lt;18.5,"Underweight",IF(C1134&lt;25,"Normal",IF(C1134&lt;30,"Overweight","Obese")))</f>
        <v>Obese</v>
      </c>
      <c r="J1134">
        <f>IF(E1134="yes",1,0)</f>
        <v>0</v>
      </c>
      <c r="K1134" t="str">
        <f>IF(G1134&gt;15000,"High","Low")</f>
        <v>High</v>
      </c>
    </row>
    <row r="1135" spans="1:11" x14ac:dyDescent="0.35">
      <c r="A1135">
        <v>52</v>
      </c>
      <c r="B1135" t="s">
        <v>2</v>
      </c>
      <c r="C1135">
        <v>18.335000000000001</v>
      </c>
      <c r="D1135">
        <v>0</v>
      </c>
      <c r="E1135" t="s">
        <v>4</v>
      </c>
      <c r="F1135" t="s">
        <v>0</v>
      </c>
      <c r="G1135" s="2">
        <v>9991.0376500000002</v>
      </c>
      <c r="H1135" s="1" t="str">
        <f>IF(A1135&lt;31,"18-30",IF(A1135&lt;46,"31-45",IF(A1135&lt;61,"46-60","60+")))</f>
        <v>46-60</v>
      </c>
      <c r="I1135" t="str">
        <f>IF(C1135&lt;18.5,"Underweight",IF(C1135&lt;25,"Normal",IF(C1135&lt;30,"Overweight","Obese")))</f>
        <v>Underweight</v>
      </c>
      <c r="J1135">
        <f>IF(E1135="yes",1,0)</f>
        <v>0</v>
      </c>
      <c r="K1135" t="str">
        <f>IF(G1135&gt;15000,"High","Low")</f>
        <v>Low</v>
      </c>
    </row>
    <row r="1136" spans="1:11" x14ac:dyDescent="0.35">
      <c r="A1136">
        <v>28</v>
      </c>
      <c r="B1136" t="s">
        <v>7</v>
      </c>
      <c r="C1136">
        <v>33.82</v>
      </c>
      <c r="D1136">
        <v>0</v>
      </c>
      <c r="E1136" t="s">
        <v>4</v>
      </c>
      <c r="F1136" t="s">
        <v>0</v>
      </c>
      <c r="G1136" s="2">
        <v>19673.335729999999</v>
      </c>
      <c r="H1136" s="1" t="str">
        <f>IF(A1136&lt;31,"18-30",IF(A1136&lt;46,"31-45",IF(A1136&lt;61,"46-60","60+")))</f>
        <v>18-30</v>
      </c>
      <c r="I1136" t="str">
        <f>IF(C1136&lt;18.5,"Underweight",IF(C1136&lt;25,"Normal",IF(C1136&lt;30,"Overweight","Obese")))</f>
        <v>Obese</v>
      </c>
      <c r="J1136">
        <f>IF(E1136="yes",1,0)</f>
        <v>0</v>
      </c>
      <c r="K1136" t="str">
        <f>IF(G1136&gt;15000,"High","Low")</f>
        <v>High</v>
      </c>
    </row>
    <row r="1137" spans="1:11" x14ac:dyDescent="0.35">
      <c r="A1137">
        <v>50</v>
      </c>
      <c r="B1137" t="s">
        <v>2</v>
      </c>
      <c r="C1137">
        <v>28.12</v>
      </c>
      <c r="D1137">
        <v>3</v>
      </c>
      <c r="E1137" t="s">
        <v>4</v>
      </c>
      <c r="F1137" t="s">
        <v>0</v>
      </c>
      <c r="G1137" s="2">
        <v>11085.586799999999</v>
      </c>
      <c r="H1137" s="1" t="str">
        <f>IF(A1137&lt;31,"18-30",IF(A1137&lt;46,"31-45",IF(A1137&lt;61,"46-60","60+")))</f>
        <v>46-60</v>
      </c>
      <c r="I1137" t="str">
        <f>IF(C1137&lt;18.5,"Underweight",IF(C1137&lt;25,"Normal",IF(C1137&lt;30,"Overweight","Obese")))</f>
        <v>Overweight</v>
      </c>
      <c r="J1137">
        <f>IF(E1137="yes",1,0)</f>
        <v>0</v>
      </c>
      <c r="K1137" t="str">
        <f>IF(G1137&gt;15000,"High","Low")</f>
        <v>Low</v>
      </c>
    </row>
    <row r="1138" spans="1:11" x14ac:dyDescent="0.35">
      <c r="A1138">
        <v>44</v>
      </c>
      <c r="B1138" t="s">
        <v>2</v>
      </c>
      <c r="C1138">
        <v>25</v>
      </c>
      <c r="D1138">
        <v>1</v>
      </c>
      <c r="E1138" t="s">
        <v>4</v>
      </c>
      <c r="F1138" t="s">
        <v>3</v>
      </c>
      <c r="G1138" s="2">
        <v>7623.518</v>
      </c>
      <c r="H1138" s="1" t="str">
        <f>IF(A1138&lt;31,"18-30",IF(A1138&lt;46,"31-45",IF(A1138&lt;61,"46-60","60+")))</f>
        <v>31-45</v>
      </c>
      <c r="I1138" t="str">
        <f>IF(C1138&lt;18.5,"Underweight",IF(C1138&lt;25,"Normal",IF(C1138&lt;30,"Overweight","Obese")))</f>
        <v>Overweight</v>
      </c>
      <c r="J1138">
        <f>IF(E1138="yes",1,0)</f>
        <v>0</v>
      </c>
      <c r="K1138" t="str">
        <f>IF(G1138&gt;15000,"High","Low")</f>
        <v>Low</v>
      </c>
    </row>
    <row r="1139" spans="1:11" x14ac:dyDescent="0.35">
      <c r="A1139">
        <v>26</v>
      </c>
      <c r="B1139" t="s">
        <v>2</v>
      </c>
      <c r="C1139">
        <v>22.23</v>
      </c>
      <c r="D1139">
        <v>0</v>
      </c>
      <c r="E1139" t="s">
        <v>4</v>
      </c>
      <c r="F1139" t="s">
        <v>0</v>
      </c>
      <c r="G1139" s="2">
        <v>3176.2876999999999</v>
      </c>
      <c r="H1139" s="1" t="str">
        <f>IF(A1139&lt;31,"18-30",IF(A1139&lt;46,"31-45",IF(A1139&lt;61,"46-60","60+")))</f>
        <v>18-30</v>
      </c>
      <c r="I1139" t="str">
        <f>IF(C1139&lt;18.5,"Underweight",IF(C1139&lt;25,"Normal",IF(C1139&lt;30,"Overweight","Obese")))</f>
        <v>Normal</v>
      </c>
      <c r="J1139">
        <f>IF(E1139="yes",1,0)</f>
        <v>0</v>
      </c>
      <c r="K1139" t="str">
        <f>IF(G1139&gt;15000,"High","Low")</f>
        <v>Low</v>
      </c>
    </row>
    <row r="1140" spans="1:11" x14ac:dyDescent="0.35">
      <c r="A1140">
        <v>33</v>
      </c>
      <c r="B1140" t="s">
        <v>7</v>
      </c>
      <c r="C1140">
        <v>30.25</v>
      </c>
      <c r="D1140">
        <v>0</v>
      </c>
      <c r="E1140" t="s">
        <v>4</v>
      </c>
      <c r="F1140" t="s">
        <v>5</v>
      </c>
      <c r="G1140" s="2">
        <v>3704.3544999999999</v>
      </c>
      <c r="H1140" s="1" t="str">
        <f>IF(A1140&lt;31,"18-30",IF(A1140&lt;46,"31-45",IF(A1140&lt;61,"46-60","60+")))</f>
        <v>31-45</v>
      </c>
      <c r="I1140" t="str">
        <f>IF(C1140&lt;18.5,"Underweight",IF(C1140&lt;25,"Normal",IF(C1140&lt;30,"Overweight","Obese")))</f>
        <v>Obese</v>
      </c>
      <c r="J1140">
        <f>IF(E1140="yes",1,0)</f>
        <v>0</v>
      </c>
      <c r="K1140" t="str">
        <f>IF(G1140&gt;15000,"High","Low")</f>
        <v>Low</v>
      </c>
    </row>
    <row r="1141" spans="1:11" x14ac:dyDescent="0.35">
      <c r="A1141">
        <v>19</v>
      </c>
      <c r="B1141" t="s">
        <v>2</v>
      </c>
      <c r="C1141">
        <v>32.49</v>
      </c>
      <c r="D1141">
        <v>0</v>
      </c>
      <c r="E1141" t="s">
        <v>1</v>
      </c>
      <c r="F1141" t="s">
        <v>0</v>
      </c>
      <c r="G1141" s="2">
        <v>36898.733079999998</v>
      </c>
      <c r="H1141" s="1" t="str">
        <f>IF(A1141&lt;31,"18-30",IF(A1141&lt;46,"31-45",IF(A1141&lt;61,"46-60","60+")))</f>
        <v>18-30</v>
      </c>
      <c r="I1141" t="str">
        <f>IF(C1141&lt;18.5,"Underweight",IF(C1141&lt;25,"Normal",IF(C1141&lt;30,"Overweight","Obese")))</f>
        <v>Obese</v>
      </c>
      <c r="J1141">
        <f>IF(E1141="yes",1,0)</f>
        <v>1</v>
      </c>
      <c r="K1141" t="str">
        <f>IF(G1141&gt;15000,"High","Low")</f>
        <v>High</v>
      </c>
    </row>
    <row r="1142" spans="1:11" x14ac:dyDescent="0.35">
      <c r="A1142">
        <v>50</v>
      </c>
      <c r="B1142" t="s">
        <v>7</v>
      </c>
      <c r="C1142">
        <v>37.07</v>
      </c>
      <c r="D1142">
        <v>1</v>
      </c>
      <c r="E1142" t="s">
        <v>4</v>
      </c>
      <c r="F1142" t="s">
        <v>5</v>
      </c>
      <c r="G1142" s="2">
        <v>9048.0272999999997</v>
      </c>
      <c r="H1142" s="1" t="str">
        <f>IF(A1142&lt;31,"18-30",IF(A1142&lt;46,"31-45",IF(A1142&lt;61,"46-60","60+")))</f>
        <v>46-60</v>
      </c>
      <c r="I1142" t="str">
        <f>IF(C1142&lt;18.5,"Underweight",IF(C1142&lt;25,"Normal",IF(C1142&lt;30,"Overweight","Obese")))</f>
        <v>Obese</v>
      </c>
      <c r="J1142">
        <f>IF(E1142="yes",1,0)</f>
        <v>0</v>
      </c>
      <c r="K1142" t="str">
        <f>IF(G1142&gt;15000,"High","Low")</f>
        <v>Low</v>
      </c>
    </row>
    <row r="1143" spans="1:11" x14ac:dyDescent="0.35">
      <c r="A1143">
        <v>41</v>
      </c>
      <c r="B1143" t="s">
        <v>2</v>
      </c>
      <c r="C1143">
        <v>32.6</v>
      </c>
      <c r="D1143">
        <v>3</v>
      </c>
      <c r="E1143" t="s">
        <v>4</v>
      </c>
      <c r="F1143" t="s">
        <v>3</v>
      </c>
      <c r="G1143" s="2">
        <v>7954.5169999999998</v>
      </c>
      <c r="H1143" s="1" t="str">
        <f>IF(A1143&lt;31,"18-30",IF(A1143&lt;46,"31-45",IF(A1143&lt;61,"46-60","60+")))</f>
        <v>31-45</v>
      </c>
      <c r="I1143" t="str">
        <f>IF(C1143&lt;18.5,"Underweight",IF(C1143&lt;25,"Normal",IF(C1143&lt;30,"Overweight","Obese")))</f>
        <v>Obese</v>
      </c>
      <c r="J1143">
        <f>IF(E1143="yes",1,0)</f>
        <v>0</v>
      </c>
      <c r="K1143" t="str">
        <f>IF(G1143&gt;15000,"High","Low")</f>
        <v>Low</v>
      </c>
    </row>
    <row r="1144" spans="1:11" x14ac:dyDescent="0.35">
      <c r="A1144">
        <v>52</v>
      </c>
      <c r="B1144" t="s">
        <v>2</v>
      </c>
      <c r="C1144">
        <v>24.86</v>
      </c>
      <c r="D1144">
        <v>0</v>
      </c>
      <c r="E1144" t="s">
        <v>4</v>
      </c>
      <c r="F1144" t="s">
        <v>5</v>
      </c>
      <c r="G1144" s="2">
        <v>27117.993780000001</v>
      </c>
      <c r="H1144" s="1" t="str">
        <f>IF(A1144&lt;31,"18-30",IF(A1144&lt;46,"31-45",IF(A1144&lt;61,"46-60","60+")))</f>
        <v>46-60</v>
      </c>
      <c r="I1144" t="str">
        <f>IF(C1144&lt;18.5,"Underweight",IF(C1144&lt;25,"Normal",IF(C1144&lt;30,"Overweight","Obese")))</f>
        <v>Normal</v>
      </c>
      <c r="J1144">
        <f>IF(E1144="yes",1,0)</f>
        <v>0</v>
      </c>
      <c r="K1144" t="str">
        <f>IF(G1144&gt;15000,"High","Low")</f>
        <v>High</v>
      </c>
    </row>
    <row r="1145" spans="1:11" x14ac:dyDescent="0.35">
      <c r="A1145">
        <v>39</v>
      </c>
      <c r="B1145" t="s">
        <v>7</v>
      </c>
      <c r="C1145">
        <v>32.340000000000003</v>
      </c>
      <c r="D1145">
        <v>2</v>
      </c>
      <c r="E1145" t="s">
        <v>4</v>
      </c>
      <c r="F1145" t="s">
        <v>5</v>
      </c>
      <c r="G1145" s="2">
        <v>6338.0756000000001</v>
      </c>
      <c r="H1145" s="1" t="str">
        <f>IF(A1145&lt;31,"18-30",IF(A1145&lt;46,"31-45",IF(A1145&lt;61,"46-60","60+")))</f>
        <v>31-45</v>
      </c>
      <c r="I1145" t="str">
        <f>IF(C1145&lt;18.5,"Underweight",IF(C1145&lt;25,"Normal",IF(C1145&lt;30,"Overweight","Obese")))</f>
        <v>Obese</v>
      </c>
      <c r="J1145">
        <f>IF(E1145="yes",1,0)</f>
        <v>0</v>
      </c>
      <c r="K1145" t="str">
        <f>IF(G1145&gt;15000,"High","Low")</f>
        <v>Low</v>
      </c>
    </row>
    <row r="1146" spans="1:11" x14ac:dyDescent="0.35">
      <c r="A1146">
        <v>50</v>
      </c>
      <c r="B1146" t="s">
        <v>7</v>
      </c>
      <c r="C1146">
        <v>32.299999999999997</v>
      </c>
      <c r="D1146">
        <v>2</v>
      </c>
      <c r="E1146" t="s">
        <v>4</v>
      </c>
      <c r="F1146" t="s">
        <v>3</v>
      </c>
      <c r="G1146" s="2">
        <v>9630.3970000000008</v>
      </c>
      <c r="H1146" s="1" t="str">
        <f>IF(A1146&lt;31,"18-30",IF(A1146&lt;46,"31-45",IF(A1146&lt;61,"46-60","60+")))</f>
        <v>46-60</v>
      </c>
      <c r="I1146" t="str">
        <f>IF(C1146&lt;18.5,"Underweight",IF(C1146&lt;25,"Normal",IF(C1146&lt;30,"Overweight","Obese")))</f>
        <v>Obese</v>
      </c>
      <c r="J1146">
        <f>IF(E1146="yes",1,0)</f>
        <v>0</v>
      </c>
      <c r="K1146" t="str">
        <f>IF(G1146&gt;15000,"High","Low")</f>
        <v>Low</v>
      </c>
    </row>
    <row r="1147" spans="1:11" x14ac:dyDescent="0.35">
      <c r="A1147">
        <v>52</v>
      </c>
      <c r="B1147" t="s">
        <v>7</v>
      </c>
      <c r="C1147">
        <v>32.774999999999999</v>
      </c>
      <c r="D1147">
        <v>3</v>
      </c>
      <c r="E1147" t="s">
        <v>4</v>
      </c>
      <c r="F1147" t="s">
        <v>0</v>
      </c>
      <c r="G1147" s="2">
        <v>11289.10925</v>
      </c>
      <c r="H1147" s="1" t="str">
        <f>IF(A1147&lt;31,"18-30",IF(A1147&lt;46,"31-45",IF(A1147&lt;61,"46-60","60+")))</f>
        <v>46-60</v>
      </c>
      <c r="I1147" t="str">
        <f>IF(C1147&lt;18.5,"Underweight",IF(C1147&lt;25,"Normal",IF(C1147&lt;30,"Overweight","Obese")))</f>
        <v>Obese</v>
      </c>
      <c r="J1147">
        <f>IF(E1147="yes",1,0)</f>
        <v>0</v>
      </c>
      <c r="K1147" t="str">
        <f>IF(G1147&gt;15000,"High","Low")</f>
        <v>Low</v>
      </c>
    </row>
    <row r="1148" spans="1:11" x14ac:dyDescent="0.35">
      <c r="A1148">
        <v>60</v>
      </c>
      <c r="B1148" t="s">
        <v>7</v>
      </c>
      <c r="C1148">
        <v>32.799999999999997</v>
      </c>
      <c r="D1148">
        <v>0</v>
      </c>
      <c r="E1148" t="s">
        <v>1</v>
      </c>
      <c r="F1148" t="s">
        <v>3</v>
      </c>
      <c r="G1148" s="2">
        <v>52590.829389999999</v>
      </c>
      <c r="H1148" s="1" t="str">
        <f>IF(A1148&lt;31,"18-30",IF(A1148&lt;46,"31-45",IF(A1148&lt;61,"46-60","60+")))</f>
        <v>46-60</v>
      </c>
      <c r="I1148" t="str">
        <f>IF(C1148&lt;18.5,"Underweight",IF(C1148&lt;25,"Normal",IF(C1148&lt;30,"Overweight","Obese")))</f>
        <v>Obese</v>
      </c>
      <c r="J1148">
        <f>IF(E1148="yes",1,0)</f>
        <v>1</v>
      </c>
      <c r="K1148" t="str">
        <f>IF(G1148&gt;15000,"High","Low")</f>
        <v>High</v>
      </c>
    </row>
    <row r="1149" spans="1:11" x14ac:dyDescent="0.35">
      <c r="A1149">
        <v>20</v>
      </c>
      <c r="B1149" t="s">
        <v>2</v>
      </c>
      <c r="C1149">
        <v>31.92</v>
      </c>
      <c r="D1149">
        <v>0</v>
      </c>
      <c r="E1149" t="s">
        <v>4</v>
      </c>
      <c r="F1149" t="s">
        <v>0</v>
      </c>
      <c r="G1149" s="2">
        <v>2261.5688</v>
      </c>
      <c r="H1149" s="1" t="str">
        <f>IF(A1149&lt;31,"18-30",IF(A1149&lt;46,"31-45",IF(A1149&lt;61,"46-60","60+")))</f>
        <v>18-30</v>
      </c>
      <c r="I1149" t="str">
        <f>IF(C1149&lt;18.5,"Underweight",IF(C1149&lt;25,"Normal",IF(C1149&lt;30,"Overweight","Obese")))</f>
        <v>Obese</v>
      </c>
      <c r="J1149">
        <f>IF(E1149="yes",1,0)</f>
        <v>0</v>
      </c>
      <c r="K1149" t="str">
        <f>IF(G1149&gt;15000,"High","Low")</f>
        <v>Low</v>
      </c>
    </row>
    <row r="1150" spans="1:11" x14ac:dyDescent="0.35">
      <c r="A1150">
        <v>55</v>
      </c>
      <c r="B1150" t="s">
        <v>7</v>
      </c>
      <c r="C1150">
        <v>21.5</v>
      </c>
      <c r="D1150">
        <v>1</v>
      </c>
      <c r="E1150" t="s">
        <v>4</v>
      </c>
      <c r="F1150" t="s">
        <v>3</v>
      </c>
      <c r="G1150" s="2">
        <v>10791.96</v>
      </c>
      <c r="H1150" s="1" t="str">
        <f>IF(A1150&lt;31,"18-30",IF(A1150&lt;46,"31-45",IF(A1150&lt;61,"46-60","60+")))</f>
        <v>46-60</v>
      </c>
      <c r="I1150" t="str">
        <f>IF(C1150&lt;18.5,"Underweight",IF(C1150&lt;25,"Normal",IF(C1150&lt;30,"Overweight","Obese")))</f>
        <v>Normal</v>
      </c>
      <c r="J1150">
        <f>IF(E1150="yes",1,0)</f>
        <v>0</v>
      </c>
      <c r="K1150" t="str">
        <f>IF(G1150&gt;15000,"High","Low")</f>
        <v>Low</v>
      </c>
    </row>
    <row r="1151" spans="1:11" x14ac:dyDescent="0.35">
      <c r="A1151">
        <v>42</v>
      </c>
      <c r="B1151" t="s">
        <v>7</v>
      </c>
      <c r="C1151">
        <v>34.1</v>
      </c>
      <c r="D1151">
        <v>0</v>
      </c>
      <c r="E1151" t="s">
        <v>4</v>
      </c>
      <c r="F1151" t="s">
        <v>3</v>
      </c>
      <c r="G1151" s="2">
        <v>5979.7309999999998</v>
      </c>
      <c r="H1151" s="1" t="str">
        <f>IF(A1151&lt;31,"18-30",IF(A1151&lt;46,"31-45",IF(A1151&lt;61,"46-60","60+")))</f>
        <v>31-45</v>
      </c>
      <c r="I1151" t="str">
        <f>IF(C1151&lt;18.5,"Underweight",IF(C1151&lt;25,"Normal",IF(C1151&lt;30,"Overweight","Obese")))</f>
        <v>Obese</v>
      </c>
      <c r="J1151">
        <f>IF(E1151="yes",1,0)</f>
        <v>0</v>
      </c>
      <c r="K1151" t="str">
        <f>IF(G1151&gt;15000,"High","Low")</f>
        <v>Low</v>
      </c>
    </row>
    <row r="1152" spans="1:11" x14ac:dyDescent="0.35">
      <c r="A1152">
        <v>18</v>
      </c>
      <c r="B1152" t="s">
        <v>2</v>
      </c>
      <c r="C1152">
        <v>30.305</v>
      </c>
      <c r="D1152">
        <v>0</v>
      </c>
      <c r="E1152" t="s">
        <v>4</v>
      </c>
      <c r="F1152" t="s">
        <v>6</v>
      </c>
      <c r="G1152" s="2">
        <v>2203.7359499999998</v>
      </c>
      <c r="H1152" s="1" t="str">
        <f>IF(A1152&lt;31,"18-30",IF(A1152&lt;46,"31-45",IF(A1152&lt;61,"46-60","60+")))</f>
        <v>18-30</v>
      </c>
      <c r="I1152" t="str">
        <f>IF(C1152&lt;18.5,"Underweight",IF(C1152&lt;25,"Normal",IF(C1152&lt;30,"Overweight","Obese")))</f>
        <v>Obese</v>
      </c>
      <c r="J1152">
        <f>IF(E1152="yes",1,0)</f>
        <v>0</v>
      </c>
      <c r="K1152" t="str">
        <f>IF(G1152&gt;15000,"High","Low")</f>
        <v>Low</v>
      </c>
    </row>
    <row r="1153" spans="1:11" x14ac:dyDescent="0.35">
      <c r="A1153">
        <v>58</v>
      </c>
      <c r="B1153" t="s">
        <v>2</v>
      </c>
      <c r="C1153">
        <v>36.479999999999997</v>
      </c>
      <c r="D1153">
        <v>0</v>
      </c>
      <c r="E1153" t="s">
        <v>4</v>
      </c>
      <c r="F1153" t="s">
        <v>0</v>
      </c>
      <c r="G1153" s="2">
        <v>12235.8392</v>
      </c>
      <c r="H1153" s="1" t="str">
        <f>IF(A1153&lt;31,"18-30",IF(A1153&lt;46,"31-45",IF(A1153&lt;61,"46-60","60+")))</f>
        <v>46-60</v>
      </c>
      <c r="I1153" t="str">
        <f>IF(C1153&lt;18.5,"Underweight",IF(C1153&lt;25,"Normal",IF(C1153&lt;30,"Overweight","Obese")))</f>
        <v>Obese</v>
      </c>
      <c r="J1153">
        <f>IF(E1153="yes",1,0)</f>
        <v>0</v>
      </c>
      <c r="K1153" t="str">
        <f>IF(G1153&gt;15000,"High","Low")</f>
        <v>Low</v>
      </c>
    </row>
    <row r="1154" spans="1:11" x14ac:dyDescent="0.35">
      <c r="A1154">
        <v>43</v>
      </c>
      <c r="B1154" t="s">
        <v>2</v>
      </c>
      <c r="C1154">
        <v>32.56</v>
      </c>
      <c r="D1154">
        <v>3</v>
      </c>
      <c r="E1154" t="s">
        <v>1</v>
      </c>
      <c r="F1154" t="s">
        <v>5</v>
      </c>
      <c r="G1154" s="2">
        <v>40941.285400000001</v>
      </c>
      <c r="H1154" s="1" t="str">
        <f>IF(A1154&lt;31,"18-30",IF(A1154&lt;46,"31-45",IF(A1154&lt;61,"46-60","60+")))</f>
        <v>31-45</v>
      </c>
      <c r="I1154" t="str">
        <f>IF(C1154&lt;18.5,"Underweight",IF(C1154&lt;25,"Normal",IF(C1154&lt;30,"Overweight","Obese")))</f>
        <v>Obese</v>
      </c>
      <c r="J1154">
        <f>IF(E1154="yes",1,0)</f>
        <v>1</v>
      </c>
      <c r="K1154" t="str">
        <f>IF(G1154&gt;15000,"High","Low")</f>
        <v>High</v>
      </c>
    </row>
    <row r="1155" spans="1:11" x14ac:dyDescent="0.35">
      <c r="A1155">
        <v>35</v>
      </c>
      <c r="B1155" t="s">
        <v>2</v>
      </c>
      <c r="C1155">
        <v>35.814999999999998</v>
      </c>
      <c r="D1155">
        <v>1</v>
      </c>
      <c r="E1155" t="s">
        <v>4</v>
      </c>
      <c r="F1155" t="s">
        <v>0</v>
      </c>
      <c r="G1155" s="2">
        <v>5630.4578499999998</v>
      </c>
      <c r="H1155" s="1" t="str">
        <f>IF(A1155&lt;31,"18-30",IF(A1155&lt;46,"31-45",IF(A1155&lt;61,"46-60","60+")))</f>
        <v>31-45</v>
      </c>
      <c r="I1155" t="str">
        <f>IF(C1155&lt;18.5,"Underweight",IF(C1155&lt;25,"Normal",IF(C1155&lt;30,"Overweight","Obese")))</f>
        <v>Obese</v>
      </c>
      <c r="J1155">
        <f>IF(E1155="yes",1,0)</f>
        <v>0</v>
      </c>
      <c r="K1155" t="str">
        <f>IF(G1155&gt;15000,"High","Low")</f>
        <v>Low</v>
      </c>
    </row>
    <row r="1156" spans="1:11" x14ac:dyDescent="0.35">
      <c r="A1156">
        <v>48</v>
      </c>
      <c r="B1156" t="s">
        <v>2</v>
      </c>
      <c r="C1156">
        <v>27.93</v>
      </c>
      <c r="D1156">
        <v>4</v>
      </c>
      <c r="E1156" t="s">
        <v>4</v>
      </c>
      <c r="F1156" t="s">
        <v>0</v>
      </c>
      <c r="G1156" s="2">
        <v>11015.1747</v>
      </c>
      <c r="H1156" s="1" t="str">
        <f>IF(A1156&lt;31,"18-30",IF(A1156&lt;46,"31-45",IF(A1156&lt;61,"46-60","60+")))</f>
        <v>46-60</v>
      </c>
      <c r="I1156" t="str">
        <f>IF(C1156&lt;18.5,"Underweight",IF(C1156&lt;25,"Normal",IF(C1156&lt;30,"Overweight","Obese")))</f>
        <v>Overweight</v>
      </c>
      <c r="J1156">
        <f>IF(E1156="yes",1,0)</f>
        <v>0</v>
      </c>
      <c r="K1156" t="str">
        <f>IF(G1156&gt;15000,"High","Low")</f>
        <v>Low</v>
      </c>
    </row>
    <row r="1157" spans="1:11" x14ac:dyDescent="0.35">
      <c r="A1157">
        <v>36</v>
      </c>
      <c r="B1157" t="s">
        <v>2</v>
      </c>
      <c r="C1157">
        <v>22.135000000000002</v>
      </c>
      <c r="D1157">
        <v>3</v>
      </c>
      <c r="E1157" t="s">
        <v>4</v>
      </c>
      <c r="F1157" t="s">
        <v>6</v>
      </c>
      <c r="G1157" s="2">
        <v>7228.2156500000001</v>
      </c>
      <c r="H1157" s="1" t="str">
        <f>IF(A1157&lt;31,"18-30",IF(A1157&lt;46,"31-45",IF(A1157&lt;61,"46-60","60+")))</f>
        <v>31-45</v>
      </c>
      <c r="I1157" t="str">
        <f>IF(C1157&lt;18.5,"Underweight",IF(C1157&lt;25,"Normal",IF(C1157&lt;30,"Overweight","Obese")))</f>
        <v>Normal</v>
      </c>
      <c r="J1157">
        <f>IF(E1157="yes",1,0)</f>
        <v>0</v>
      </c>
      <c r="K1157" t="str">
        <f>IF(G1157&gt;15000,"High","Low")</f>
        <v>Low</v>
      </c>
    </row>
    <row r="1158" spans="1:11" x14ac:dyDescent="0.35">
      <c r="A1158">
        <v>19</v>
      </c>
      <c r="B1158" t="s">
        <v>7</v>
      </c>
      <c r="C1158">
        <v>44.88</v>
      </c>
      <c r="D1158">
        <v>0</v>
      </c>
      <c r="E1158" t="s">
        <v>1</v>
      </c>
      <c r="F1158" t="s">
        <v>5</v>
      </c>
      <c r="G1158" s="2">
        <v>39722.746200000001</v>
      </c>
      <c r="H1158" s="1" t="str">
        <f>IF(A1158&lt;31,"18-30",IF(A1158&lt;46,"31-45",IF(A1158&lt;61,"46-60","60+")))</f>
        <v>18-30</v>
      </c>
      <c r="I1158" t="str">
        <f>IF(C1158&lt;18.5,"Underweight",IF(C1158&lt;25,"Normal",IF(C1158&lt;30,"Overweight","Obese")))</f>
        <v>Obese</v>
      </c>
      <c r="J1158">
        <f>IF(E1158="yes",1,0)</f>
        <v>1</v>
      </c>
      <c r="K1158" t="str">
        <f>IF(G1158&gt;15000,"High","Low")</f>
        <v>High</v>
      </c>
    </row>
    <row r="1159" spans="1:11" x14ac:dyDescent="0.35">
      <c r="A1159">
        <v>23</v>
      </c>
      <c r="B1159" t="s">
        <v>2</v>
      </c>
      <c r="C1159">
        <v>23.18</v>
      </c>
      <c r="D1159">
        <v>2</v>
      </c>
      <c r="E1159" t="s">
        <v>4</v>
      </c>
      <c r="F1159" t="s">
        <v>0</v>
      </c>
      <c r="G1159" s="2">
        <v>14426.073850000001</v>
      </c>
      <c r="H1159" s="1" t="str">
        <f>IF(A1159&lt;31,"18-30",IF(A1159&lt;46,"31-45",IF(A1159&lt;61,"46-60","60+")))</f>
        <v>18-30</v>
      </c>
      <c r="I1159" t="str">
        <f>IF(C1159&lt;18.5,"Underweight",IF(C1159&lt;25,"Normal",IF(C1159&lt;30,"Overweight","Obese")))</f>
        <v>Normal</v>
      </c>
      <c r="J1159">
        <f>IF(E1159="yes",1,0)</f>
        <v>0</v>
      </c>
      <c r="K1159" t="str">
        <f>IF(G1159&gt;15000,"High","Low")</f>
        <v>Low</v>
      </c>
    </row>
    <row r="1160" spans="1:11" x14ac:dyDescent="0.35">
      <c r="A1160">
        <v>20</v>
      </c>
      <c r="B1160" t="s">
        <v>2</v>
      </c>
      <c r="C1160">
        <v>30.59</v>
      </c>
      <c r="D1160">
        <v>0</v>
      </c>
      <c r="E1160" t="s">
        <v>4</v>
      </c>
      <c r="F1160" t="s">
        <v>6</v>
      </c>
      <c r="G1160" s="2">
        <v>2459.7201</v>
      </c>
      <c r="H1160" s="1" t="str">
        <f>IF(A1160&lt;31,"18-30",IF(A1160&lt;46,"31-45",IF(A1160&lt;61,"46-60","60+")))</f>
        <v>18-30</v>
      </c>
      <c r="I1160" t="str">
        <f>IF(C1160&lt;18.5,"Underweight",IF(C1160&lt;25,"Normal",IF(C1160&lt;30,"Overweight","Obese")))</f>
        <v>Obese</v>
      </c>
      <c r="J1160">
        <f>IF(E1160="yes",1,0)</f>
        <v>0</v>
      </c>
      <c r="K1160" t="str">
        <f>IF(G1160&gt;15000,"High","Low")</f>
        <v>Low</v>
      </c>
    </row>
    <row r="1161" spans="1:11" x14ac:dyDescent="0.35">
      <c r="A1161">
        <v>32</v>
      </c>
      <c r="B1161" t="s">
        <v>2</v>
      </c>
      <c r="C1161">
        <v>41.1</v>
      </c>
      <c r="D1161">
        <v>0</v>
      </c>
      <c r="E1161" t="s">
        <v>4</v>
      </c>
      <c r="F1161" t="s">
        <v>3</v>
      </c>
      <c r="G1161" s="2">
        <v>3989.8409999999999</v>
      </c>
      <c r="H1161" s="1" t="str">
        <f>IF(A1161&lt;31,"18-30",IF(A1161&lt;46,"31-45",IF(A1161&lt;61,"46-60","60+")))</f>
        <v>31-45</v>
      </c>
      <c r="I1161" t="str">
        <f>IF(C1161&lt;18.5,"Underweight",IF(C1161&lt;25,"Normal",IF(C1161&lt;30,"Overweight","Obese")))</f>
        <v>Obese</v>
      </c>
      <c r="J1161">
        <f>IF(E1161="yes",1,0)</f>
        <v>0</v>
      </c>
      <c r="K1161" t="str">
        <f>IF(G1161&gt;15000,"High","Low")</f>
        <v>Low</v>
      </c>
    </row>
    <row r="1162" spans="1:11" x14ac:dyDescent="0.35">
      <c r="A1162">
        <v>43</v>
      </c>
      <c r="B1162" t="s">
        <v>2</v>
      </c>
      <c r="C1162">
        <v>34.58</v>
      </c>
      <c r="D1162">
        <v>1</v>
      </c>
      <c r="E1162" t="s">
        <v>4</v>
      </c>
      <c r="F1162" t="s">
        <v>0</v>
      </c>
      <c r="G1162" s="2">
        <v>7727.2532000000001</v>
      </c>
      <c r="H1162" s="1" t="str">
        <f>IF(A1162&lt;31,"18-30",IF(A1162&lt;46,"31-45",IF(A1162&lt;61,"46-60","60+")))</f>
        <v>31-45</v>
      </c>
      <c r="I1162" t="str">
        <f>IF(C1162&lt;18.5,"Underweight",IF(C1162&lt;25,"Normal",IF(C1162&lt;30,"Overweight","Obese")))</f>
        <v>Obese</v>
      </c>
      <c r="J1162">
        <f>IF(E1162="yes",1,0)</f>
        <v>0</v>
      </c>
      <c r="K1162" t="str">
        <f>IF(G1162&gt;15000,"High","Low")</f>
        <v>Low</v>
      </c>
    </row>
    <row r="1163" spans="1:11" x14ac:dyDescent="0.35">
      <c r="A1163">
        <v>34</v>
      </c>
      <c r="B1163" t="s">
        <v>7</v>
      </c>
      <c r="C1163">
        <v>42.13</v>
      </c>
      <c r="D1163">
        <v>2</v>
      </c>
      <c r="E1163" t="s">
        <v>4</v>
      </c>
      <c r="F1163" t="s">
        <v>5</v>
      </c>
      <c r="G1163" s="2">
        <v>5124.1886999999997</v>
      </c>
      <c r="H1163" s="1" t="str">
        <f>IF(A1163&lt;31,"18-30",IF(A1163&lt;46,"31-45",IF(A1163&lt;61,"46-60","60+")))</f>
        <v>31-45</v>
      </c>
      <c r="I1163" t="str">
        <f>IF(C1163&lt;18.5,"Underweight",IF(C1163&lt;25,"Normal",IF(C1163&lt;30,"Overweight","Obese")))</f>
        <v>Obese</v>
      </c>
      <c r="J1163">
        <f>IF(E1163="yes",1,0)</f>
        <v>0</v>
      </c>
      <c r="K1163" t="str">
        <f>IF(G1163&gt;15000,"High","Low")</f>
        <v>Low</v>
      </c>
    </row>
    <row r="1164" spans="1:11" x14ac:dyDescent="0.35">
      <c r="A1164">
        <v>30</v>
      </c>
      <c r="B1164" t="s">
        <v>7</v>
      </c>
      <c r="C1164">
        <v>38.83</v>
      </c>
      <c r="D1164">
        <v>1</v>
      </c>
      <c r="E1164" t="s">
        <v>4</v>
      </c>
      <c r="F1164" t="s">
        <v>5</v>
      </c>
      <c r="G1164" s="2">
        <v>18963.171920000001</v>
      </c>
      <c r="H1164" s="1" t="str">
        <f>IF(A1164&lt;31,"18-30",IF(A1164&lt;46,"31-45",IF(A1164&lt;61,"46-60","60+")))</f>
        <v>18-30</v>
      </c>
      <c r="I1164" t="str">
        <f>IF(C1164&lt;18.5,"Underweight",IF(C1164&lt;25,"Normal",IF(C1164&lt;30,"Overweight","Obese")))</f>
        <v>Obese</v>
      </c>
      <c r="J1164">
        <f>IF(E1164="yes",1,0)</f>
        <v>0</v>
      </c>
      <c r="K1164" t="str">
        <f>IF(G1164&gt;15000,"High","Low")</f>
        <v>High</v>
      </c>
    </row>
    <row r="1165" spans="1:11" x14ac:dyDescent="0.35">
      <c r="A1165">
        <v>18</v>
      </c>
      <c r="B1165" t="s">
        <v>2</v>
      </c>
      <c r="C1165">
        <v>28.215</v>
      </c>
      <c r="D1165">
        <v>0</v>
      </c>
      <c r="E1165" t="s">
        <v>4</v>
      </c>
      <c r="F1165" t="s">
        <v>6</v>
      </c>
      <c r="G1165" s="2">
        <v>2200.8308499999998</v>
      </c>
      <c r="H1165" s="1" t="str">
        <f>IF(A1165&lt;31,"18-30",IF(A1165&lt;46,"31-45",IF(A1165&lt;61,"46-60","60+")))</f>
        <v>18-30</v>
      </c>
      <c r="I1165" t="str">
        <f>IF(C1165&lt;18.5,"Underweight",IF(C1165&lt;25,"Normal",IF(C1165&lt;30,"Overweight","Obese")))</f>
        <v>Overweight</v>
      </c>
      <c r="J1165">
        <f>IF(E1165="yes",1,0)</f>
        <v>0</v>
      </c>
      <c r="K1165" t="str">
        <f>IF(G1165&gt;15000,"High","Low")</f>
        <v>Low</v>
      </c>
    </row>
    <row r="1166" spans="1:11" x14ac:dyDescent="0.35">
      <c r="A1166">
        <v>41</v>
      </c>
      <c r="B1166" t="s">
        <v>2</v>
      </c>
      <c r="C1166">
        <v>28.31</v>
      </c>
      <c r="D1166">
        <v>1</v>
      </c>
      <c r="E1166" t="s">
        <v>4</v>
      </c>
      <c r="F1166" t="s">
        <v>0</v>
      </c>
      <c r="G1166" s="2">
        <v>7153.5538999999999</v>
      </c>
      <c r="H1166" s="1" t="str">
        <f>IF(A1166&lt;31,"18-30",IF(A1166&lt;46,"31-45",IF(A1166&lt;61,"46-60","60+")))</f>
        <v>31-45</v>
      </c>
      <c r="I1166" t="str">
        <f>IF(C1166&lt;18.5,"Underweight",IF(C1166&lt;25,"Normal",IF(C1166&lt;30,"Overweight","Obese")))</f>
        <v>Overweight</v>
      </c>
      <c r="J1166">
        <f>IF(E1166="yes",1,0)</f>
        <v>0</v>
      </c>
      <c r="K1166" t="str">
        <f>IF(G1166&gt;15000,"High","Low")</f>
        <v>Low</v>
      </c>
    </row>
    <row r="1167" spans="1:11" x14ac:dyDescent="0.35">
      <c r="A1167">
        <v>35</v>
      </c>
      <c r="B1167" t="s">
        <v>2</v>
      </c>
      <c r="C1167">
        <v>26.125</v>
      </c>
      <c r="D1167">
        <v>0</v>
      </c>
      <c r="E1167" t="s">
        <v>4</v>
      </c>
      <c r="F1167" t="s">
        <v>6</v>
      </c>
      <c r="G1167" s="2">
        <v>5227.9887500000004</v>
      </c>
      <c r="H1167" s="1" t="str">
        <f>IF(A1167&lt;31,"18-30",IF(A1167&lt;46,"31-45",IF(A1167&lt;61,"46-60","60+")))</f>
        <v>31-45</v>
      </c>
      <c r="I1167" t="str">
        <f>IF(C1167&lt;18.5,"Underweight",IF(C1167&lt;25,"Normal",IF(C1167&lt;30,"Overweight","Obese")))</f>
        <v>Overweight</v>
      </c>
      <c r="J1167">
        <f>IF(E1167="yes",1,0)</f>
        <v>0</v>
      </c>
      <c r="K1167" t="str">
        <f>IF(G1167&gt;15000,"High","Low")</f>
        <v>Low</v>
      </c>
    </row>
    <row r="1168" spans="1:11" x14ac:dyDescent="0.35">
      <c r="A1168">
        <v>57</v>
      </c>
      <c r="B1168" t="s">
        <v>7</v>
      </c>
      <c r="C1168">
        <v>40.369999999999997</v>
      </c>
      <c r="D1168">
        <v>0</v>
      </c>
      <c r="E1168" t="s">
        <v>4</v>
      </c>
      <c r="F1168" t="s">
        <v>5</v>
      </c>
      <c r="G1168" s="2">
        <v>10982.5013</v>
      </c>
      <c r="H1168" s="1" t="str">
        <f>IF(A1168&lt;31,"18-30",IF(A1168&lt;46,"31-45",IF(A1168&lt;61,"46-60","60+")))</f>
        <v>46-60</v>
      </c>
      <c r="I1168" t="str">
        <f>IF(C1168&lt;18.5,"Underweight",IF(C1168&lt;25,"Normal",IF(C1168&lt;30,"Overweight","Obese")))</f>
        <v>Obese</v>
      </c>
      <c r="J1168">
        <f>IF(E1168="yes",1,0)</f>
        <v>0</v>
      </c>
      <c r="K1168" t="str">
        <f>IF(G1168&gt;15000,"High","Low")</f>
        <v>Low</v>
      </c>
    </row>
    <row r="1169" spans="1:11" x14ac:dyDescent="0.35">
      <c r="A1169">
        <v>29</v>
      </c>
      <c r="B1169" t="s">
        <v>2</v>
      </c>
      <c r="C1169">
        <v>24.6</v>
      </c>
      <c r="D1169">
        <v>2</v>
      </c>
      <c r="E1169" t="s">
        <v>4</v>
      </c>
      <c r="F1169" t="s">
        <v>3</v>
      </c>
      <c r="G1169" s="2">
        <v>4529.4769999999999</v>
      </c>
      <c r="H1169" s="1" t="str">
        <f>IF(A1169&lt;31,"18-30",IF(A1169&lt;46,"31-45",IF(A1169&lt;61,"46-60","60+")))</f>
        <v>18-30</v>
      </c>
      <c r="I1169" t="str">
        <f>IF(C1169&lt;18.5,"Underweight",IF(C1169&lt;25,"Normal",IF(C1169&lt;30,"Overweight","Obese")))</f>
        <v>Normal</v>
      </c>
      <c r="J1169">
        <f>IF(E1169="yes",1,0)</f>
        <v>0</v>
      </c>
      <c r="K1169" t="str">
        <f>IF(G1169&gt;15000,"High","Low")</f>
        <v>Low</v>
      </c>
    </row>
    <row r="1170" spans="1:11" x14ac:dyDescent="0.35">
      <c r="A1170">
        <v>32</v>
      </c>
      <c r="B1170" t="s">
        <v>7</v>
      </c>
      <c r="C1170">
        <v>35.200000000000003</v>
      </c>
      <c r="D1170">
        <v>2</v>
      </c>
      <c r="E1170" t="s">
        <v>4</v>
      </c>
      <c r="F1170" t="s">
        <v>3</v>
      </c>
      <c r="G1170" s="2">
        <v>4670.6400000000003</v>
      </c>
      <c r="H1170" s="1" t="str">
        <f>IF(A1170&lt;31,"18-30",IF(A1170&lt;46,"31-45",IF(A1170&lt;61,"46-60","60+")))</f>
        <v>31-45</v>
      </c>
      <c r="I1170" t="str">
        <f>IF(C1170&lt;18.5,"Underweight",IF(C1170&lt;25,"Normal",IF(C1170&lt;30,"Overweight","Obese")))</f>
        <v>Obese</v>
      </c>
      <c r="J1170">
        <f>IF(E1170="yes",1,0)</f>
        <v>0</v>
      </c>
      <c r="K1170" t="str">
        <f>IF(G1170&gt;15000,"High","Low")</f>
        <v>Low</v>
      </c>
    </row>
    <row r="1171" spans="1:11" x14ac:dyDescent="0.35">
      <c r="A1171">
        <v>37</v>
      </c>
      <c r="B1171" t="s">
        <v>2</v>
      </c>
      <c r="C1171">
        <v>34.104999999999997</v>
      </c>
      <c r="D1171">
        <v>1</v>
      </c>
      <c r="E1171" t="s">
        <v>4</v>
      </c>
      <c r="F1171" t="s">
        <v>0</v>
      </c>
      <c r="G1171" s="2">
        <v>6112.3529500000004</v>
      </c>
      <c r="H1171" s="1" t="str">
        <f>IF(A1171&lt;31,"18-30",IF(A1171&lt;46,"31-45",IF(A1171&lt;61,"46-60","60+")))</f>
        <v>31-45</v>
      </c>
      <c r="I1171" t="str">
        <f>IF(C1171&lt;18.5,"Underweight",IF(C1171&lt;25,"Normal",IF(C1171&lt;30,"Overweight","Obese")))</f>
        <v>Obese</v>
      </c>
      <c r="J1171">
        <f>IF(E1171="yes",1,0)</f>
        <v>0</v>
      </c>
      <c r="K1171" t="str">
        <f>IF(G1171&gt;15000,"High","Low")</f>
        <v>Low</v>
      </c>
    </row>
    <row r="1172" spans="1:11" x14ac:dyDescent="0.35">
      <c r="A1172">
        <v>18</v>
      </c>
      <c r="B1172" t="s">
        <v>7</v>
      </c>
      <c r="C1172">
        <v>27.36</v>
      </c>
      <c r="D1172">
        <v>1</v>
      </c>
      <c r="E1172" t="s">
        <v>1</v>
      </c>
      <c r="F1172" t="s">
        <v>6</v>
      </c>
      <c r="G1172" s="2">
        <v>17178.682400000002</v>
      </c>
      <c r="H1172" s="1" t="str">
        <f>IF(A1172&lt;31,"18-30",IF(A1172&lt;46,"31-45",IF(A1172&lt;61,"46-60","60+")))</f>
        <v>18-30</v>
      </c>
      <c r="I1172" t="str">
        <f>IF(C1172&lt;18.5,"Underweight",IF(C1172&lt;25,"Normal",IF(C1172&lt;30,"Overweight","Obese")))</f>
        <v>Overweight</v>
      </c>
      <c r="J1172">
        <f>IF(E1172="yes",1,0)</f>
        <v>1</v>
      </c>
      <c r="K1172" t="str">
        <f>IF(G1172&gt;15000,"High","Low")</f>
        <v>High</v>
      </c>
    </row>
    <row r="1173" spans="1:11" x14ac:dyDescent="0.35">
      <c r="A1173">
        <v>43</v>
      </c>
      <c r="B1173" t="s">
        <v>2</v>
      </c>
      <c r="C1173">
        <v>26.7</v>
      </c>
      <c r="D1173">
        <v>2</v>
      </c>
      <c r="E1173" t="s">
        <v>1</v>
      </c>
      <c r="F1173" t="s">
        <v>3</v>
      </c>
      <c r="G1173" s="2">
        <v>22478.6</v>
      </c>
      <c r="H1173" s="1" t="str">
        <f>IF(A1173&lt;31,"18-30",IF(A1173&lt;46,"31-45",IF(A1173&lt;61,"46-60","60+")))</f>
        <v>31-45</v>
      </c>
      <c r="I1173" t="str">
        <f>IF(C1173&lt;18.5,"Underweight",IF(C1173&lt;25,"Normal",IF(C1173&lt;30,"Overweight","Obese")))</f>
        <v>Overweight</v>
      </c>
      <c r="J1173">
        <f>IF(E1173="yes",1,0)</f>
        <v>1</v>
      </c>
      <c r="K1173" t="str">
        <f>IF(G1173&gt;15000,"High","Low")</f>
        <v>High</v>
      </c>
    </row>
    <row r="1174" spans="1:11" x14ac:dyDescent="0.35">
      <c r="A1174">
        <v>56</v>
      </c>
      <c r="B1174" t="s">
        <v>2</v>
      </c>
      <c r="C1174">
        <v>41.91</v>
      </c>
      <c r="D1174">
        <v>0</v>
      </c>
      <c r="E1174" t="s">
        <v>4</v>
      </c>
      <c r="F1174" t="s">
        <v>5</v>
      </c>
      <c r="G1174" s="2">
        <v>11093.6229</v>
      </c>
      <c r="H1174" s="1" t="str">
        <f>IF(A1174&lt;31,"18-30",IF(A1174&lt;46,"31-45",IF(A1174&lt;61,"46-60","60+")))</f>
        <v>46-60</v>
      </c>
      <c r="I1174" t="str">
        <f>IF(C1174&lt;18.5,"Underweight",IF(C1174&lt;25,"Normal",IF(C1174&lt;30,"Overweight","Obese")))</f>
        <v>Obese</v>
      </c>
      <c r="J1174">
        <f>IF(E1174="yes",1,0)</f>
        <v>0</v>
      </c>
      <c r="K1174" t="str">
        <f>IF(G1174&gt;15000,"High","Low")</f>
        <v>Low</v>
      </c>
    </row>
    <row r="1175" spans="1:11" x14ac:dyDescent="0.35">
      <c r="A1175">
        <v>38</v>
      </c>
      <c r="B1175" t="s">
        <v>7</v>
      </c>
      <c r="C1175">
        <v>29.26</v>
      </c>
      <c r="D1175">
        <v>2</v>
      </c>
      <c r="E1175" t="s">
        <v>4</v>
      </c>
      <c r="F1175" t="s">
        <v>0</v>
      </c>
      <c r="G1175" s="2">
        <v>6457.8433999999997</v>
      </c>
      <c r="H1175" s="1" t="str">
        <f>IF(A1175&lt;31,"18-30",IF(A1175&lt;46,"31-45",IF(A1175&lt;61,"46-60","60+")))</f>
        <v>31-45</v>
      </c>
      <c r="I1175" t="str">
        <f>IF(C1175&lt;18.5,"Underweight",IF(C1175&lt;25,"Normal",IF(C1175&lt;30,"Overweight","Obese")))</f>
        <v>Overweight</v>
      </c>
      <c r="J1175">
        <f>IF(E1175="yes",1,0)</f>
        <v>0</v>
      </c>
      <c r="K1175" t="str">
        <f>IF(G1175&gt;15000,"High","Low")</f>
        <v>Low</v>
      </c>
    </row>
    <row r="1176" spans="1:11" x14ac:dyDescent="0.35">
      <c r="A1176">
        <v>29</v>
      </c>
      <c r="B1176" t="s">
        <v>7</v>
      </c>
      <c r="C1176">
        <v>32.11</v>
      </c>
      <c r="D1176">
        <v>2</v>
      </c>
      <c r="E1176" t="s">
        <v>4</v>
      </c>
      <c r="F1176" t="s">
        <v>0</v>
      </c>
      <c r="G1176" s="2">
        <v>4433.9159</v>
      </c>
      <c r="H1176" s="1" t="str">
        <f>IF(A1176&lt;31,"18-30",IF(A1176&lt;46,"31-45",IF(A1176&lt;61,"46-60","60+")))</f>
        <v>18-30</v>
      </c>
      <c r="I1176" t="str">
        <f>IF(C1176&lt;18.5,"Underweight",IF(C1176&lt;25,"Normal",IF(C1176&lt;30,"Overweight","Obese")))</f>
        <v>Obese</v>
      </c>
      <c r="J1176">
        <f>IF(E1176="yes",1,0)</f>
        <v>0</v>
      </c>
      <c r="K1176" t="str">
        <f>IF(G1176&gt;15000,"High","Low")</f>
        <v>Low</v>
      </c>
    </row>
    <row r="1177" spans="1:11" x14ac:dyDescent="0.35">
      <c r="A1177">
        <v>22</v>
      </c>
      <c r="B1177" t="s">
        <v>2</v>
      </c>
      <c r="C1177">
        <v>27.1</v>
      </c>
      <c r="D1177">
        <v>0</v>
      </c>
      <c r="E1177" t="s">
        <v>4</v>
      </c>
      <c r="F1177" t="s">
        <v>3</v>
      </c>
      <c r="G1177" s="2">
        <v>2154.3609999999999</v>
      </c>
      <c r="H1177" s="1" t="str">
        <f>IF(A1177&lt;31,"18-30",IF(A1177&lt;46,"31-45",IF(A1177&lt;61,"46-60","60+")))</f>
        <v>18-30</v>
      </c>
      <c r="I1177" t="str">
        <f>IF(C1177&lt;18.5,"Underweight",IF(C1177&lt;25,"Normal",IF(C1177&lt;30,"Overweight","Obese")))</f>
        <v>Overweight</v>
      </c>
      <c r="J1177">
        <f>IF(E1177="yes",1,0)</f>
        <v>0</v>
      </c>
      <c r="K1177" t="str">
        <f>IF(G1177&gt;15000,"High","Low")</f>
        <v>Low</v>
      </c>
    </row>
    <row r="1178" spans="1:11" x14ac:dyDescent="0.35">
      <c r="A1178">
        <v>52</v>
      </c>
      <c r="B1178" t="s">
        <v>2</v>
      </c>
      <c r="C1178">
        <v>24.13</v>
      </c>
      <c r="D1178">
        <v>1</v>
      </c>
      <c r="E1178" t="s">
        <v>1</v>
      </c>
      <c r="F1178" t="s">
        <v>0</v>
      </c>
      <c r="G1178" s="2">
        <v>23887.662700000001</v>
      </c>
      <c r="H1178" s="1" t="str">
        <f>IF(A1178&lt;31,"18-30",IF(A1178&lt;46,"31-45",IF(A1178&lt;61,"46-60","60+")))</f>
        <v>46-60</v>
      </c>
      <c r="I1178" t="str">
        <f>IF(C1178&lt;18.5,"Underweight",IF(C1178&lt;25,"Normal",IF(C1178&lt;30,"Overweight","Obese")))</f>
        <v>Normal</v>
      </c>
      <c r="J1178">
        <f>IF(E1178="yes",1,0)</f>
        <v>1</v>
      </c>
      <c r="K1178" t="str">
        <f>IF(G1178&gt;15000,"High","Low")</f>
        <v>High</v>
      </c>
    </row>
    <row r="1179" spans="1:11" x14ac:dyDescent="0.35">
      <c r="A1179">
        <v>40</v>
      </c>
      <c r="B1179" t="s">
        <v>2</v>
      </c>
      <c r="C1179">
        <v>27.4</v>
      </c>
      <c r="D1179">
        <v>1</v>
      </c>
      <c r="E1179" t="s">
        <v>4</v>
      </c>
      <c r="F1179" t="s">
        <v>3</v>
      </c>
      <c r="G1179" s="2">
        <v>6496.8860000000004</v>
      </c>
      <c r="H1179" s="1" t="str">
        <f>IF(A1179&lt;31,"18-30",IF(A1179&lt;46,"31-45",IF(A1179&lt;61,"46-60","60+")))</f>
        <v>31-45</v>
      </c>
      <c r="I1179" t="str">
        <f>IF(C1179&lt;18.5,"Underweight",IF(C1179&lt;25,"Normal",IF(C1179&lt;30,"Overweight","Obese")))</f>
        <v>Overweight</v>
      </c>
      <c r="J1179">
        <f>IF(E1179="yes",1,0)</f>
        <v>0</v>
      </c>
      <c r="K1179" t="str">
        <f>IF(G1179&gt;15000,"High","Low")</f>
        <v>Low</v>
      </c>
    </row>
    <row r="1180" spans="1:11" x14ac:dyDescent="0.35">
      <c r="A1180">
        <v>23</v>
      </c>
      <c r="B1180" t="s">
        <v>2</v>
      </c>
      <c r="C1180">
        <v>34.865000000000002</v>
      </c>
      <c r="D1180">
        <v>0</v>
      </c>
      <c r="E1180" t="s">
        <v>4</v>
      </c>
      <c r="F1180" t="s">
        <v>6</v>
      </c>
      <c r="G1180" s="2">
        <v>2899.4893499999998</v>
      </c>
      <c r="H1180" s="1" t="str">
        <f>IF(A1180&lt;31,"18-30",IF(A1180&lt;46,"31-45",IF(A1180&lt;61,"46-60","60+")))</f>
        <v>18-30</v>
      </c>
      <c r="I1180" t="str">
        <f>IF(C1180&lt;18.5,"Underweight",IF(C1180&lt;25,"Normal",IF(C1180&lt;30,"Overweight","Obese")))</f>
        <v>Obese</v>
      </c>
      <c r="J1180">
        <f>IF(E1180="yes",1,0)</f>
        <v>0</v>
      </c>
      <c r="K1180" t="str">
        <f>IF(G1180&gt;15000,"High","Low")</f>
        <v>Low</v>
      </c>
    </row>
    <row r="1181" spans="1:11" x14ac:dyDescent="0.35">
      <c r="A1181">
        <v>31</v>
      </c>
      <c r="B1181" t="s">
        <v>7</v>
      </c>
      <c r="C1181">
        <v>29.81</v>
      </c>
      <c r="D1181">
        <v>0</v>
      </c>
      <c r="E1181" t="s">
        <v>1</v>
      </c>
      <c r="F1181" t="s">
        <v>5</v>
      </c>
      <c r="G1181" s="2">
        <v>19350.368900000001</v>
      </c>
      <c r="H1181" s="1" t="str">
        <f>IF(A1181&lt;31,"18-30",IF(A1181&lt;46,"31-45",IF(A1181&lt;61,"46-60","60+")))</f>
        <v>31-45</v>
      </c>
      <c r="I1181" t="str">
        <f>IF(C1181&lt;18.5,"Underweight",IF(C1181&lt;25,"Normal",IF(C1181&lt;30,"Overweight","Obese")))</f>
        <v>Overweight</v>
      </c>
      <c r="J1181">
        <f>IF(E1181="yes",1,0)</f>
        <v>1</v>
      </c>
      <c r="K1181" t="str">
        <f>IF(G1181&gt;15000,"High","Low")</f>
        <v>High</v>
      </c>
    </row>
    <row r="1182" spans="1:11" x14ac:dyDescent="0.35">
      <c r="A1182">
        <v>42</v>
      </c>
      <c r="B1182" t="s">
        <v>2</v>
      </c>
      <c r="C1182">
        <v>41.325000000000003</v>
      </c>
      <c r="D1182">
        <v>1</v>
      </c>
      <c r="E1182" t="s">
        <v>4</v>
      </c>
      <c r="F1182" t="s">
        <v>6</v>
      </c>
      <c r="G1182" s="2">
        <v>7650.7737500000003</v>
      </c>
      <c r="H1182" s="1" t="str">
        <f>IF(A1182&lt;31,"18-30",IF(A1182&lt;46,"31-45",IF(A1182&lt;61,"46-60","60+")))</f>
        <v>31-45</v>
      </c>
      <c r="I1182" t="str">
        <f>IF(C1182&lt;18.5,"Underweight",IF(C1182&lt;25,"Normal",IF(C1182&lt;30,"Overweight","Obese")))</f>
        <v>Obese</v>
      </c>
      <c r="J1182">
        <f>IF(E1182="yes",1,0)</f>
        <v>0</v>
      </c>
      <c r="K1182" t="str">
        <f>IF(G1182&gt;15000,"High","Low")</f>
        <v>Low</v>
      </c>
    </row>
    <row r="1183" spans="1:11" x14ac:dyDescent="0.35">
      <c r="A1183">
        <v>24</v>
      </c>
      <c r="B1183" t="s">
        <v>2</v>
      </c>
      <c r="C1183">
        <v>29.925000000000001</v>
      </c>
      <c r="D1183">
        <v>0</v>
      </c>
      <c r="E1183" t="s">
        <v>4</v>
      </c>
      <c r="F1183" t="s">
        <v>0</v>
      </c>
      <c r="G1183" s="2">
        <v>2850.6837500000001</v>
      </c>
      <c r="H1183" s="1" t="str">
        <f>IF(A1183&lt;31,"18-30",IF(A1183&lt;46,"31-45",IF(A1183&lt;61,"46-60","60+")))</f>
        <v>18-30</v>
      </c>
      <c r="I1183" t="str">
        <f>IF(C1183&lt;18.5,"Underweight",IF(C1183&lt;25,"Normal",IF(C1183&lt;30,"Overweight","Obese")))</f>
        <v>Overweight</v>
      </c>
      <c r="J1183">
        <f>IF(E1183="yes",1,0)</f>
        <v>0</v>
      </c>
      <c r="K1183" t="str">
        <f>IF(G1183&gt;15000,"High","Low")</f>
        <v>Low</v>
      </c>
    </row>
    <row r="1184" spans="1:11" x14ac:dyDescent="0.35">
      <c r="A1184">
        <v>25</v>
      </c>
      <c r="B1184" t="s">
        <v>2</v>
      </c>
      <c r="C1184">
        <v>30.3</v>
      </c>
      <c r="D1184">
        <v>0</v>
      </c>
      <c r="E1184" t="s">
        <v>4</v>
      </c>
      <c r="F1184" t="s">
        <v>3</v>
      </c>
      <c r="G1184" s="2">
        <v>2632.9920000000002</v>
      </c>
      <c r="H1184" s="1" t="str">
        <f>IF(A1184&lt;31,"18-30",IF(A1184&lt;46,"31-45",IF(A1184&lt;61,"46-60","60+")))</f>
        <v>18-30</v>
      </c>
      <c r="I1184" t="str">
        <f>IF(C1184&lt;18.5,"Underweight",IF(C1184&lt;25,"Normal",IF(C1184&lt;30,"Overweight","Obese")))</f>
        <v>Obese</v>
      </c>
      <c r="J1184">
        <f>IF(E1184="yes",1,0)</f>
        <v>0</v>
      </c>
      <c r="K1184" t="str">
        <f>IF(G1184&gt;15000,"High","Low")</f>
        <v>Low</v>
      </c>
    </row>
    <row r="1185" spans="1:11" x14ac:dyDescent="0.35">
      <c r="A1185">
        <v>48</v>
      </c>
      <c r="B1185" t="s">
        <v>2</v>
      </c>
      <c r="C1185">
        <v>27.36</v>
      </c>
      <c r="D1185">
        <v>1</v>
      </c>
      <c r="E1185" t="s">
        <v>4</v>
      </c>
      <c r="F1185" t="s">
        <v>6</v>
      </c>
      <c r="G1185" s="2">
        <v>9447.3824000000004</v>
      </c>
      <c r="H1185" s="1" t="str">
        <f>IF(A1185&lt;31,"18-30",IF(A1185&lt;46,"31-45",IF(A1185&lt;61,"46-60","60+")))</f>
        <v>46-60</v>
      </c>
      <c r="I1185" t="str">
        <f>IF(C1185&lt;18.5,"Underweight",IF(C1185&lt;25,"Normal",IF(C1185&lt;30,"Overweight","Obese")))</f>
        <v>Overweight</v>
      </c>
      <c r="J1185">
        <f>IF(E1185="yes",1,0)</f>
        <v>0</v>
      </c>
      <c r="K1185" t="str">
        <f>IF(G1185&gt;15000,"High","Low")</f>
        <v>Low</v>
      </c>
    </row>
    <row r="1186" spans="1:11" x14ac:dyDescent="0.35">
      <c r="A1186">
        <v>23</v>
      </c>
      <c r="B1186" t="s">
        <v>2</v>
      </c>
      <c r="C1186">
        <v>28.49</v>
      </c>
      <c r="D1186">
        <v>1</v>
      </c>
      <c r="E1186" t="s">
        <v>1</v>
      </c>
      <c r="F1186" t="s">
        <v>5</v>
      </c>
      <c r="G1186" s="2">
        <v>18328.238099999999</v>
      </c>
      <c r="H1186" s="1" t="str">
        <f>IF(A1186&lt;31,"18-30",IF(A1186&lt;46,"31-45",IF(A1186&lt;61,"46-60","60+")))</f>
        <v>18-30</v>
      </c>
      <c r="I1186" t="str">
        <f>IF(C1186&lt;18.5,"Underweight",IF(C1186&lt;25,"Normal",IF(C1186&lt;30,"Overweight","Obese")))</f>
        <v>Overweight</v>
      </c>
      <c r="J1186">
        <f>IF(E1186="yes",1,0)</f>
        <v>1</v>
      </c>
      <c r="K1186" t="str">
        <f>IF(G1186&gt;15000,"High","Low")</f>
        <v>High</v>
      </c>
    </row>
    <row r="1187" spans="1:11" x14ac:dyDescent="0.35">
      <c r="A1187">
        <v>45</v>
      </c>
      <c r="B1187" t="s">
        <v>7</v>
      </c>
      <c r="C1187">
        <v>23.56</v>
      </c>
      <c r="D1187">
        <v>2</v>
      </c>
      <c r="E1187" t="s">
        <v>4</v>
      </c>
      <c r="F1187" t="s">
        <v>6</v>
      </c>
      <c r="G1187" s="2">
        <v>8603.8233999999993</v>
      </c>
      <c r="H1187" s="1" t="str">
        <f>IF(A1187&lt;31,"18-30",IF(A1187&lt;46,"31-45",IF(A1187&lt;61,"46-60","60+")))</f>
        <v>31-45</v>
      </c>
      <c r="I1187" t="str">
        <f>IF(C1187&lt;18.5,"Underweight",IF(C1187&lt;25,"Normal",IF(C1187&lt;30,"Overweight","Obese")))</f>
        <v>Normal</v>
      </c>
      <c r="J1187">
        <f>IF(E1187="yes",1,0)</f>
        <v>0</v>
      </c>
      <c r="K1187" t="str">
        <f>IF(G1187&gt;15000,"High","Low")</f>
        <v>Low</v>
      </c>
    </row>
    <row r="1188" spans="1:11" x14ac:dyDescent="0.35">
      <c r="A1188">
        <v>20</v>
      </c>
      <c r="B1188" t="s">
        <v>7</v>
      </c>
      <c r="C1188">
        <v>35.625</v>
      </c>
      <c r="D1188">
        <v>3</v>
      </c>
      <c r="E1188" t="s">
        <v>1</v>
      </c>
      <c r="F1188" t="s">
        <v>0</v>
      </c>
      <c r="G1188" s="2">
        <v>37465.34375</v>
      </c>
      <c r="H1188" s="1" t="str">
        <f>IF(A1188&lt;31,"18-30",IF(A1188&lt;46,"31-45",IF(A1188&lt;61,"46-60","60+")))</f>
        <v>18-30</v>
      </c>
      <c r="I1188" t="str">
        <f>IF(C1188&lt;18.5,"Underweight",IF(C1188&lt;25,"Normal",IF(C1188&lt;30,"Overweight","Obese")))</f>
        <v>Obese</v>
      </c>
      <c r="J1188">
        <f>IF(E1188="yes",1,0)</f>
        <v>1</v>
      </c>
      <c r="K1188" t="str">
        <f>IF(G1188&gt;15000,"High","Low")</f>
        <v>High</v>
      </c>
    </row>
    <row r="1189" spans="1:11" x14ac:dyDescent="0.35">
      <c r="A1189">
        <v>62</v>
      </c>
      <c r="B1189" t="s">
        <v>2</v>
      </c>
      <c r="C1189">
        <v>32.68</v>
      </c>
      <c r="D1189">
        <v>0</v>
      </c>
      <c r="E1189" t="s">
        <v>4</v>
      </c>
      <c r="F1189" t="s">
        <v>0</v>
      </c>
      <c r="G1189" s="2">
        <v>13844.797200000001</v>
      </c>
      <c r="H1189" s="1" t="str">
        <f>IF(A1189&lt;31,"18-30",IF(A1189&lt;46,"31-45",IF(A1189&lt;61,"46-60","60+")))</f>
        <v>60+</v>
      </c>
      <c r="I1189" t="str">
        <f>IF(C1189&lt;18.5,"Underweight",IF(C1189&lt;25,"Normal",IF(C1189&lt;30,"Overweight","Obese")))</f>
        <v>Obese</v>
      </c>
      <c r="J1189">
        <f>IF(E1189="yes",1,0)</f>
        <v>0</v>
      </c>
      <c r="K1189" t="str">
        <f>IF(G1189&gt;15000,"High","Low")</f>
        <v>Low</v>
      </c>
    </row>
    <row r="1190" spans="1:11" x14ac:dyDescent="0.35">
      <c r="A1190">
        <v>43</v>
      </c>
      <c r="B1190" t="s">
        <v>2</v>
      </c>
      <c r="C1190">
        <v>25.27</v>
      </c>
      <c r="D1190">
        <v>1</v>
      </c>
      <c r="E1190" t="s">
        <v>1</v>
      </c>
      <c r="F1190" t="s">
        <v>6</v>
      </c>
      <c r="G1190" s="2">
        <v>21771.3423</v>
      </c>
      <c r="H1190" s="1" t="str">
        <f>IF(A1190&lt;31,"18-30",IF(A1190&lt;46,"31-45",IF(A1190&lt;61,"46-60","60+")))</f>
        <v>31-45</v>
      </c>
      <c r="I1190" t="str">
        <f>IF(C1190&lt;18.5,"Underweight",IF(C1190&lt;25,"Normal",IF(C1190&lt;30,"Overweight","Obese")))</f>
        <v>Overweight</v>
      </c>
      <c r="J1190">
        <f>IF(E1190="yes",1,0)</f>
        <v>1</v>
      </c>
      <c r="K1190" t="str">
        <f>IF(G1190&gt;15000,"High","Low")</f>
        <v>High</v>
      </c>
    </row>
    <row r="1191" spans="1:11" x14ac:dyDescent="0.35">
      <c r="A1191">
        <v>23</v>
      </c>
      <c r="B1191" t="s">
        <v>2</v>
      </c>
      <c r="C1191">
        <v>28</v>
      </c>
      <c r="D1191">
        <v>0</v>
      </c>
      <c r="E1191" t="s">
        <v>4</v>
      </c>
      <c r="F1191" t="s">
        <v>3</v>
      </c>
      <c r="G1191" s="2">
        <v>13126.677449999999</v>
      </c>
      <c r="H1191" s="1" t="str">
        <f>IF(A1191&lt;31,"18-30",IF(A1191&lt;46,"31-45",IF(A1191&lt;61,"46-60","60+")))</f>
        <v>18-30</v>
      </c>
      <c r="I1191" t="str">
        <f>IF(C1191&lt;18.5,"Underweight",IF(C1191&lt;25,"Normal",IF(C1191&lt;30,"Overweight","Obese")))</f>
        <v>Overweight</v>
      </c>
      <c r="J1191">
        <f>IF(E1191="yes",1,0)</f>
        <v>0</v>
      </c>
      <c r="K1191" t="str">
        <f>IF(G1191&gt;15000,"High","Low")</f>
        <v>Low</v>
      </c>
    </row>
    <row r="1192" spans="1:11" x14ac:dyDescent="0.35">
      <c r="A1192">
        <v>31</v>
      </c>
      <c r="B1192" t="s">
        <v>2</v>
      </c>
      <c r="C1192">
        <v>32.774999999999999</v>
      </c>
      <c r="D1192">
        <v>2</v>
      </c>
      <c r="E1192" t="s">
        <v>4</v>
      </c>
      <c r="F1192" t="s">
        <v>0</v>
      </c>
      <c r="G1192" s="2">
        <v>5327.4002499999997</v>
      </c>
      <c r="H1192" s="1" t="str">
        <f>IF(A1192&lt;31,"18-30",IF(A1192&lt;46,"31-45",IF(A1192&lt;61,"46-60","60+")))</f>
        <v>31-45</v>
      </c>
      <c r="I1192" t="str">
        <f>IF(C1192&lt;18.5,"Underweight",IF(C1192&lt;25,"Normal",IF(C1192&lt;30,"Overweight","Obese")))</f>
        <v>Obese</v>
      </c>
      <c r="J1192">
        <f>IF(E1192="yes",1,0)</f>
        <v>0</v>
      </c>
      <c r="K1192" t="str">
        <f>IF(G1192&gt;15000,"High","Low")</f>
        <v>Low</v>
      </c>
    </row>
    <row r="1193" spans="1:11" x14ac:dyDescent="0.35">
      <c r="A1193">
        <v>41</v>
      </c>
      <c r="B1193" t="s">
        <v>2</v>
      </c>
      <c r="C1193">
        <v>21.754999999999999</v>
      </c>
      <c r="D1193">
        <v>1</v>
      </c>
      <c r="E1193" t="s">
        <v>4</v>
      </c>
      <c r="F1193" t="s">
        <v>6</v>
      </c>
      <c r="G1193" s="2">
        <v>13725.47184</v>
      </c>
      <c r="H1193" s="1" t="str">
        <f>IF(A1193&lt;31,"18-30",IF(A1193&lt;46,"31-45",IF(A1193&lt;61,"46-60","60+")))</f>
        <v>31-45</v>
      </c>
      <c r="I1193" t="str">
        <f>IF(C1193&lt;18.5,"Underweight",IF(C1193&lt;25,"Normal",IF(C1193&lt;30,"Overweight","Obese")))</f>
        <v>Normal</v>
      </c>
      <c r="J1193">
        <f>IF(E1193="yes",1,0)</f>
        <v>0</v>
      </c>
      <c r="K1193" t="str">
        <f>IF(G1193&gt;15000,"High","Low")</f>
        <v>Low</v>
      </c>
    </row>
    <row r="1194" spans="1:11" x14ac:dyDescent="0.35">
      <c r="A1194">
        <v>58</v>
      </c>
      <c r="B1194" t="s">
        <v>2</v>
      </c>
      <c r="C1194">
        <v>32.395000000000003</v>
      </c>
      <c r="D1194">
        <v>1</v>
      </c>
      <c r="E1194" t="s">
        <v>4</v>
      </c>
      <c r="F1194" t="s">
        <v>6</v>
      </c>
      <c r="G1194" s="2">
        <v>13019.161050000001</v>
      </c>
      <c r="H1194" s="1" t="str">
        <f>IF(A1194&lt;31,"18-30",IF(A1194&lt;46,"31-45",IF(A1194&lt;61,"46-60","60+")))</f>
        <v>46-60</v>
      </c>
      <c r="I1194" t="str">
        <f>IF(C1194&lt;18.5,"Underweight",IF(C1194&lt;25,"Normal",IF(C1194&lt;30,"Overweight","Obese")))</f>
        <v>Obese</v>
      </c>
      <c r="J1194">
        <f>IF(E1194="yes",1,0)</f>
        <v>0</v>
      </c>
      <c r="K1194" t="str">
        <f>IF(G1194&gt;15000,"High","Low")</f>
        <v>Low</v>
      </c>
    </row>
    <row r="1195" spans="1:11" x14ac:dyDescent="0.35">
      <c r="A1195">
        <v>48</v>
      </c>
      <c r="B1195" t="s">
        <v>2</v>
      </c>
      <c r="C1195">
        <v>36.575000000000003</v>
      </c>
      <c r="D1195">
        <v>0</v>
      </c>
      <c r="E1195" t="s">
        <v>4</v>
      </c>
      <c r="F1195" t="s">
        <v>0</v>
      </c>
      <c r="G1195" s="2">
        <v>8671.1912499999999</v>
      </c>
      <c r="H1195" s="1" t="str">
        <f>IF(A1195&lt;31,"18-30",IF(A1195&lt;46,"31-45",IF(A1195&lt;61,"46-60","60+")))</f>
        <v>46-60</v>
      </c>
      <c r="I1195" t="str">
        <f>IF(C1195&lt;18.5,"Underweight",IF(C1195&lt;25,"Normal",IF(C1195&lt;30,"Overweight","Obese")))</f>
        <v>Obese</v>
      </c>
      <c r="J1195">
        <f>IF(E1195="yes",1,0)</f>
        <v>0</v>
      </c>
      <c r="K1195" t="str">
        <f>IF(G1195&gt;15000,"High","Low")</f>
        <v>Low</v>
      </c>
    </row>
    <row r="1196" spans="1:11" x14ac:dyDescent="0.35">
      <c r="A1196">
        <v>31</v>
      </c>
      <c r="B1196" t="s">
        <v>2</v>
      </c>
      <c r="C1196">
        <v>21.754999999999999</v>
      </c>
      <c r="D1196">
        <v>0</v>
      </c>
      <c r="E1196" t="s">
        <v>4</v>
      </c>
      <c r="F1196" t="s">
        <v>0</v>
      </c>
      <c r="G1196" s="2">
        <v>4134.0824499999999</v>
      </c>
      <c r="H1196" s="1" t="str">
        <f>IF(A1196&lt;31,"18-30",IF(A1196&lt;46,"31-45",IF(A1196&lt;61,"46-60","60+")))</f>
        <v>31-45</v>
      </c>
      <c r="I1196" t="str">
        <f>IF(C1196&lt;18.5,"Underweight",IF(C1196&lt;25,"Normal",IF(C1196&lt;30,"Overweight","Obese")))</f>
        <v>Normal</v>
      </c>
      <c r="J1196">
        <f>IF(E1196="yes",1,0)</f>
        <v>0</v>
      </c>
      <c r="K1196" t="str">
        <f>IF(G1196&gt;15000,"High","Low")</f>
        <v>Low</v>
      </c>
    </row>
    <row r="1197" spans="1:11" x14ac:dyDescent="0.35">
      <c r="A1197">
        <v>19</v>
      </c>
      <c r="B1197" t="s">
        <v>2</v>
      </c>
      <c r="C1197">
        <v>27.93</v>
      </c>
      <c r="D1197">
        <v>3</v>
      </c>
      <c r="E1197" t="s">
        <v>4</v>
      </c>
      <c r="F1197" t="s">
        <v>0</v>
      </c>
      <c r="G1197" s="2">
        <v>18838.703659999999</v>
      </c>
      <c r="H1197" s="1" t="str">
        <f>IF(A1197&lt;31,"18-30",IF(A1197&lt;46,"31-45",IF(A1197&lt;61,"46-60","60+")))</f>
        <v>18-30</v>
      </c>
      <c r="I1197" t="str">
        <f>IF(C1197&lt;18.5,"Underweight",IF(C1197&lt;25,"Normal",IF(C1197&lt;30,"Overweight","Obese")))</f>
        <v>Overweight</v>
      </c>
      <c r="J1197">
        <f>IF(E1197="yes",1,0)</f>
        <v>0</v>
      </c>
      <c r="K1197" t="str">
        <f>IF(G1197&gt;15000,"High","Low")</f>
        <v>High</v>
      </c>
    </row>
    <row r="1198" spans="1:11" x14ac:dyDescent="0.35">
      <c r="A1198">
        <v>19</v>
      </c>
      <c r="B1198" t="s">
        <v>2</v>
      </c>
      <c r="C1198">
        <v>30.02</v>
      </c>
      <c r="D1198">
        <v>0</v>
      </c>
      <c r="E1198" t="s">
        <v>1</v>
      </c>
      <c r="F1198" t="s">
        <v>0</v>
      </c>
      <c r="G1198" s="2">
        <v>33307.550799999997</v>
      </c>
      <c r="H1198" s="1" t="str">
        <f>IF(A1198&lt;31,"18-30",IF(A1198&lt;46,"31-45",IF(A1198&lt;61,"46-60","60+")))</f>
        <v>18-30</v>
      </c>
      <c r="I1198" t="str">
        <f>IF(C1198&lt;18.5,"Underweight",IF(C1198&lt;25,"Normal",IF(C1198&lt;30,"Overweight","Obese")))</f>
        <v>Obese</v>
      </c>
      <c r="J1198">
        <f>IF(E1198="yes",1,0)</f>
        <v>1</v>
      </c>
      <c r="K1198" t="str">
        <f>IF(G1198&gt;15000,"High","Low")</f>
        <v>High</v>
      </c>
    </row>
    <row r="1199" spans="1:11" x14ac:dyDescent="0.35">
      <c r="A1199">
        <v>41</v>
      </c>
      <c r="B1199" t="s">
        <v>7</v>
      </c>
      <c r="C1199">
        <v>33.549999999999997</v>
      </c>
      <c r="D1199">
        <v>0</v>
      </c>
      <c r="E1199" t="s">
        <v>4</v>
      </c>
      <c r="F1199" t="s">
        <v>5</v>
      </c>
      <c r="G1199" s="2">
        <v>5699.8374999999996</v>
      </c>
      <c r="H1199" s="1" t="str">
        <f>IF(A1199&lt;31,"18-30",IF(A1199&lt;46,"31-45",IF(A1199&lt;61,"46-60","60+")))</f>
        <v>31-45</v>
      </c>
      <c r="I1199" t="str">
        <f>IF(C1199&lt;18.5,"Underweight",IF(C1199&lt;25,"Normal",IF(C1199&lt;30,"Overweight","Obese")))</f>
        <v>Obese</v>
      </c>
      <c r="J1199">
        <f>IF(E1199="yes",1,0)</f>
        <v>0</v>
      </c>
      <c r="K1199" t="str">
        <f>IF(G1199&gt;15000,"High","Low")</f>
        <v>Low</v>
      </c>
    </row>
    <row r="1200" spans="1:11" x14ac:dyDescent="0.35">
      <c r="A1200">
        <v>40</v>
      </c>
      <c r="B1200" t="s">
        <v>7</v>
      </c>
      <c r="C1200">
        <v>29.355</v>
      </c>
      <c r="D1200">
        <v>1</v>
      </c>
      <c r="E1200" t="s">
        <v>4</v>
      </c>
      <c r="F1200" t="s">
        <v>0</v>
      </c>
      <c r="G1200" s="2">
        <v>6393.6034499999996</v>
      </c>
      <c r="H1200" s="1" t="str">
        <f>IF(A1200&lt;31,"18-30",IF(A1200&lt;46,"31-45",IF(A1200&lt;61,"46-60","60+")))</f>
        <v>31-45</v>
      </c>
      <c r="I1200" t="str">
        <f>IF(C1200&lt;18.5,"Underweight",IF(C1200&lt;25,"Normal",IF(C1200&lt;30,"Overweight","Obese")))</f>
        <v>Overweight</v>
      </c>
      <c r="J1200">
        <f>IF(E1200="yes",1,0)</f>
        <v>0</v>
      </c>
      <c r="K1200" t="str">
        <f>IF(G1200&gt;15000,"High","Low")</f>
        <v>Low</v>
      </c>
    </row>
    <row r="1201" spans="1:11" x14ac:dyDescent="0.35">
      <c r="A1201">
        <v>31</v>
      </c>
      <c r="B1201" t="s">
        <v>2</v>
      </c>
      <c r="C1201">
        <v>25.8</v>
      </c>
      <c r="D1201">
        <v>2</v>
      </c>
      <c r="E1201" t="s">
        <v>4</v>
      </c>
      <c r="F1201" t="s">
        <v>3</v>
      </c>
      <c r="G1201" s="2">
        <v>4934.7049999999999</v>
      </c>
      <c r="H1201" s="1" t="str">
        <f>IF(A1201&lt;31,"18-30",IF(A1201&lt;46,"31-45",IF(A1201&lt;61,"46-60","60+")))</f>
        <v>31-45</v>
      </c>
      <c r="I1201" t="str">
        <f>IF(C1201&lt;18.5,"Underweight",IF(C1201&lt;25,"Normal",IF(C1201&lt;30,"Overweight","Obese")))</f>
        <v>Overweight</v>
      </c>
      <c r="J1201">
        <f>IF(E1201="yes",1,0)</f>
        <v>0</v>
      </c>
      <c r="K1201" t="str">
        <f>IF(G1201&gt;15000,"High","Low")</f>
        <v>Low</v>
      </c>
    </row>
    <row r="1202" spans="1:11" x14ac:dyDescent="0.35">
      <c r="A1202">
        <v>37</v>
      </c>
      <c r="B1202" t="s">
        <v>7</v>
      </c>
      <c r="C1202">
        <v>24.32</v>
      </c>
      <c r="D1202">
        <v>2</v>
      </c>
      <c r="E1202" t="s">
        <v>4</v>
      </c>
      <c r="F1202" t="s">
        <v>0</v>
      </c>
      <c r="G1202" s="2">
        <v>6198.7518</v>
      </c>
      <c r="H1202" s="1" t="str">
        <f>IF(A1202&lt;31,"18-30",IF(A1202&lt;46,"31-45",IF(A1202&lt;61,"46-60","60+")))</f>
        <v>31-45</v>
      </c>
      <c r="I1202" t="str">
        <f>IF(C1202&lt;18.5,"Underweight",IF(C1202&lt;25,"Normal",IF(C1202&lt;30,"Overweight","Obese")))</f>
        <v>Normal</v>
      </c>
      <c r="J1202">
        <f>IF(E1202="yes",1,0)</f>
        <v>0</v>
      </c>
      <c r="K1202" t="str">
        <f>IF(G1202&gt;15000,"High","Low")</f>
        <v>Low</v>
      </c>
    </row>
    <row r="1203" spans="1:11" x14ac:dyDescent="0.35">
      <c r="A1203">
        <v>46</v>
      </c>
      <c r="B1203" t="s">
        <v>7</v>
      </c>
      <c r="C1203">
        <v>40.375</v>
      </c>
      <c r="D1203">
        <v>2</v>
      </c>
      <c r="E1203" t="s">
        <v>4</v>
      </c>
      <c r="F1203" t="s">
        <v>0</v>
      </c>
      <c r="G1203" s="2">
        <v>8733.2292500000003</v>
      </c>
      <c r="H1203" s="1" t="str">
        <f>IF(A1203&lt;31,"18-30",IF(A1203&lt;46,"31-45",IF(A1203&lt;61,"46-60","60+")))</f>
        <v>46-60</v>
      </c>
      <c r="I1203" t="str">
        <f>IF(C1203&lt;18.5,"Underweight",IF(C1203&lt;25,"Normal",IF(C1203&lt;30,"Overweight","Obese")))</f>
        <v>Obese</v>
      </c>
      <c r="J1203">
        <f>IF(E1203="yes",1,0)</f>
        <v>0</v>
      </c>
      <c r="K1203" t="str">
        <f>IF(G1203&gt;15000,"High","Low")</f>
        <v>Low</v>
      </c>
    </row>
    <row r="1204" spans="1:11" x14ac:dyDescent="0.35">
      <c r="A1204">
        <v>22</v>
      </c>
      <c r="B1204" t="s">
        <v>7</v>
      </c>
      <c r="C1204">
        <v>32.11</v>
      </c>
      <c r="D1204">
        <v>0</v>
      </c>
      <c r="E1204" t="s">
        <v>4</v>
      </c>
      <c r="F1204" t="s">
        <v>0</v>
      </c>
      <c r="G1204" s="2">
        <v>2055.3249000000001</v>
      </c>
      <c r="H1204" s="1" t="str">
        <f>IF(A1204&lt;31,"18-30",IF(A1204&lt;46,"31-45",IF(A1204&lt;61,"46-60","60+")))</f>
        <v>18-30</v>
      </c>
      <c r="I1204" t="str">
        <f>IF(C1204&lt;18.5,"Underweight",IF(C1204&lt;25,"Normal",IF(C1204&lt;30,"Overweight","Obese")))</f>
        <v>Obese</v>
      </c>
      <c r="J1204">
        <f>IF(E1204="yes",1,0)</f>
        <v>0</v>
      </c>
      <c r="K1204" t="str">
        <f>IF(G1204&gt;15000,"High","Low")</f>
        <v>Low</v>
      </c>
    </row>
    <row r="1205" spans="1:11" x14ac:dyDescent="0.35">
      <c r="A1205">
        <v>51</v>
      </c>
      <c r="B1205" t="s">
        <v>7</v>
      </c>
      <c r="C1205">
        <v>32.299999999999997</v>
      </c>
      <c r="D1205">
        <v>1</v>
      </c>
      <c r="E1205" t="s">
        <v>4</v>
      </c>
      <c r="F1205" t="s">
        <v>6</v>
      </c>
      <c r="G1205" s="2">
        <v>9964.06</v>
      </c>
      <c r="H1205" s="1" t="str">
        <f>IF(A1205&lt;31,"18-30",IF(A1205&lt;46,"31-45",IF(A1205&lt;61,"46-60","60+")))</f>
        <v>46-60</v>
      </c>
      <c r="I1205" t="str">
        <f>IF(C1205&lt;18.5,"Underweight",IF(C1205&lt;25,"Normal",IF(C1205&lt;30,"Overweight","Obese")))</f>
        <v>Obese</v>
      </c>
      <c r="J1205">
        <f>IF(E1205="yes",1,0)</f>
        <v>0</v>
      </c>
      <c r="K1205" t="str">
        <f>IF(G1205&gt;15000,"High","Low")</f>
        <v>Low</v>
      </c>
    </row>
    <row r="1206" spans="1:11" x14ac:dyDescent="0.35">
      <c r="A1206">
        <v>18</v>
      </c>
      <c r="B1206" t="s">
        <v>2</v>
      </c>
      <c r="C1206">
        <v>27.28</v>
      </c>
      <c r="D1206">
        <v>3</v>
      </c>
      <c r="E1206" t="s">
        <v>1</v>
      </c>
      <c r="F1206" t="s">
        <v>5</v>
      </c>
      <c r="G1206" s="2">
        <v>18223.4512</v>
      </c>
      <c r="H1206" s="1" t="str">
        <f>IF(A1206&lt;31,"18-30",IF(A1206&lt;46,"31-45",IF(A1206&lt;61,"46-60","60+")))</f>
        <v>18-30</v>
      </c>
      <c r="I1206" t="str">
        <f>IF(C1206&lt;18.5,"Underweight",IF(C1206&lt;25,"Normal",IF(C1206&lt;30,"Overweight","Obese")))</f>
        <v>Overweight</v>
      </c>
      <c r="J1206">
        <f>IF(E1206="yes",1,0)</f>
        <v>1</v>
      </c>
      <c r="K1206" t="str">
        <f>IF(G1206&gt;15000,"High","Low")</f>
        <v>High</v>
      </c>
    </row>
    <row r="1207" spans="1:11" x14ac:dyDescent="0.35">
      <c r="A1207">
        <v>35</v>
      </c>
      <c r="B1207" t="s">
        <v>7</v>
      </c>
      <c r="C1207">
        <v>17.86</v>
      </c>
      <c r="D1207">
        <v>1</v>
      </c>
      <c r="E1207" t="s">
        <v>4</v>
      </c>
      <c r="F1207" t="s">
        <v>0</v>
      </c>
      <c r="G1207" s="2">
        <v>5116.5003999999999</v>
      </c>
      <c r="H1207" s="1" t="str">
        <f>IF(A1207&lt;31,"18-30",IF(A1207&lt;46,"31-45",IF(A1207&lt;61,"46-60","60+")))</f>
        <v>31-45</v>
      </c>
      <c r="I1207" t="str">
        <f>IF(C1207&lt;18.5,"Underweight",IF(C1207&lt;25,"Normal",IF(C1207&lt;30,"Overweight","Obese")))</f>
        <v>Underweight</v>
      </c>
      <c r="J1207">
        <f>IF(E1207="yes",1,0)</f>
        <v>0</v>
      </c>
      <c r="K1207" t="str">
        <f>IF(G1207&gt;15000,"High","Low")</f>
        <v>Low</v>
      </c>
    </row>
    <row r="1208" spans="1:11" x14ac:dyDescent="0.35">
      <c r="A1208">
        <v>59</v>
      </c>
      <c r="B1208" t="s">
        <v>2</v>
      </c>
      <c r="C1208">
        <v>34.799999999999997</v>
      </c>
      <c r="D1208">
        <v>2</v>
      </c>
      <c r="E1208" t="s">
        <v>4</v>
      </c>
      <c r="F1208" t="s">
        <v>3</v>
      </c>
      <c r="G1208" s="2">
        <v>36910.608030000003</v>
      </c>
      <c r="H1208" s="1" t="str">
        <f>IF(A1208&lt;31,"18-30",IF(A1208&lt;46,"31-45",IF(A1208&lt;61,"46-60","60+")))</f>
        <v>46-60</v>
      </c>
      <c r="I1208" t="str">
        <f>IF(C1208&lt;18.5,"Underweight",IF(C1208&lt;25,"Normal",IF(C1208&lt;30,"Overweight","Obese")))</f>
        <v>Obese</v>
      </c>
      <c r="J1208">
        <f>IF(E1208="yes",1,0)</f>
        <v>0</v>
      </c>
      <c r="K1208" t="str">
        <f>IF(G1208&gt;15000,"High","Low")</f>
        <v>High</v>
      </c>
    </row>
    <row r="1209" spans="1:11" x14ac:dyDescent="0.35">
      <c r="A1209">
        <v>36</v>
      </c>
      <c r="B1209" t="s">
        <v>7</v>
      </c>
      <c r="C1209">
        <v>33.4</v>
      </c>
      <c r="D1209">
        <v>2</v>
      </c>
      <c r="E1209" t="s">
        <v>1</v>
      </c>
      <c r="F1209" t="s">
        <v>3</v>
      </c>
      <c r="G1209" s="2">
        <v>38415.474000000002</v>
      </c>
      <c r="H1209" s="1" t="str">
        <f>IF(A1209&lt;31,"18-30",IF(A1209&lt;46,"31-45",IF(A1209&lt;61,"46-60","60+")))</f>
        <v>31-45</v>
      </c>
      <c r="I1209" t="str">
        <f>IF(C1209&lt;18.5,"Underweight",IF(C1209&lt;25,"Normal",IF(C1209&lt;30,"Overweight","Obese")))</f>
        <v>Obese</v>
      </c>
      <c r="J1209">
        <f>IF(E1209="yes",1,0)</f>
        <v>1</v>
      </c>
      <c r="K1209" t="str">
        <f>IF(G1209&gt;15000,"High","Low")</f>
        <v>High</v>
      </c>
    </row>
    <row r="1210" spans="1:11" x14ac:dyDescent="0.35">
      <c r="A1210">
        <v>37</v>
      </c>
      <c r="B1210" t="s">
        <v>2</v>
      </c>
      <c r="C1210">
        <v>25.555</v>
      </c>
      <c r="D1210">
        <v>1</v>
      </c>
      <c r="E1210" t="s">
        <v>1</v>
      </c>
      <c r="F1210" t="s">
        <v>6</v>
      </c>
      <c r="G1210" s="2">
        <v>20296.863450000001</v>
      </c>
      <c r="H1210" s="1" t="str">
        <f>IF(A1210&lt;31,"18-30",IF(A1210&lt;46,"31-45",IF(A1210&lt;61,"46-60","60+")))</f>
        <v>31-45</v>
      </c>
      <c r="I1210" t="str">
        <f>IF(C1210&lt;18.5,"Underweight",IF(C1210&lt;25,"Normal",IF(C1210&lt;30,"Overweight","Obese")))</f>
        <v>Overweight</v>
      </c>
      <c r="J1210">
        <f>IF(E1210="yes",1,0)</f>
        <v>1</v>
      </c>
      <c r="K1210" t="str">
        <f>IF(G1210&gt;15000,"High","Low")</f>
        <v>High</v>
      </c>
    </row>
    <row r="1211" spans="1:11" x14ac:dyDescent="0.35">
      <c r="A1211">
        <v>59</v>
      </c>
      <c r="B1211" t="s">
        <v>7</v>
      </c>
      <c r="C1211">
        <v>37.1</v>
      </c>
      <c r="D1211">
        <v>1</v>
      </c>
      <c r="E1211" t="s">
        <v>4</v>
      </c>
      <c r="F1211" t="s">
        <v>3</v>
      </c>
      <c r="G1211" s="2">
        <v>12347.172</v>
      </c>
      <c r="H1211" s="1" t="str">
        <f>IF(A1211&lt;31,"18-30",IF(A1211&lt;46,"31-45",IF(A1211&lt;61,"46-60","60+")))</f>
        <v>46-60</v>
      </c>
      <c r="I1211" t="str">
        <f>IF(C1211&lt;18.5,"Underweight",IF(C1211&lt;25,"Normal",IF(C1211&lt;30,"Overweight","Obese")))</f>
        <v>Obese</v>
      </c>
      <c r="J1211">
        <f>IF(E1211="yes",1,0)</f>
        <v>0</v>
      </c>
      <c r="K1211" t="str">
        <f>IF(G1211&gt;15000,"High","Low")</f>
        <v>Low</v>
      </c>
    </row>
    <row r="1212" spans="1:11" x14ac:dyDescent="0.35">
      <c r="A1212">
        <v>36</v>
      </c>
      <c r="B1212" t="s">
        <v>7</v>
      </c>
      <c r="C1212">
        <v>30.875</v>
      </c>
      <c r="D1212">
        <v>1</v>
      </c>
      <c r="E1212" t="s">
        <v>4</v>
      </c>
      <c r="F1212" t="s">
        <v>0</v>
      </c>
      <c r="G1212" s="2">
        <v>5373.3642499999996</v>
      </c>
      <c r="H1212" s="1" t="str">
        <f>IF(A1212&lt;31,"18-30",IF(A1212&lt;46,"31-45",IF(A1212&lt;61,"46-60","60+")))</f>
        <v>31-45</v>
      </c>
      <c r="I1212" t="str">
        <f>IF(C1212&lt;18.5,"Underweight",IF(C1212&lt;25,"Normal",IF(C1212&lt;30,"Overweight","Obese")))</f>
        <v>Obese</v>
      </c>
      <c r="J1212">
        <f>IF(E1212="yes",1,0)</f>
        <v>0</v>
      </c>
      <c r="K1212" t="str">
        <f>IF(G1212&gt;15000,"High","Low")</f>
        <v>Low</v>
      </c>
    </row>
    <row r="1213" spans="1:11" x14ac:dyDescent="0.35">
      <c r="A1213">
        <v>39</v>
      </c>
      <c r="B1213" t="s">
        <v>7</v>
      </c>
      <c r="C1213">
        <v>34.1</v>
      </c>
      <c r="D1213">
        <v>2</v>
      </c>
      <c r="E1213" t="s">
        <v>4</v>
      </c>
      <c r="F1213" t="s">
        <v>5</v>
      </c>
      <c r="G1213" s="2">
        <v>23563.016179999999</v>
      </c>
      <c r="H1213" s="1" t="str">
        <f>IF(A1213&lt;31,"18-30",IF(A1213&lt;46,"31-45",IF(A1213&lt;61,"46-60","60+")))</f>
        <v>31-45</v>
      </c>
      <c r="I1213" t="str">
        <f>IF(C1213&lt;18.5,"Underweight",IF(C1213&lt;25,"Normal",IF(C1213&lt;30,"Overweight","Obese")))</f>
        <v>Obese</v>
      </c>
      <c r="J1213">
        <f>IF(E1213="yes",1,0)</f>
        <v>0</v>
      </c>
      <c r="K1213" t="str">
        <f>IF(G1213&gt;15000,"High","Low")</f>
        <v>High</v>
      </c>
    </row>
    <row r="1214" spans="1:11" x14ac:dyDescent="0.35">
      <c r="A1214">
        <v>18</v>
      </c>
      <c r="B1214" t="s">
        <v>7</v>
      </c>
      <c r="C1214">
        <v>21.47</v>
      </c>
      <c r="D1214">
        <v>0</v>
      </c>
      <c r="E1214" t="s">
        <v>4</v>
      </c>
      <c r="F1214" t="s">
        <v>6</v>
      </c>
      <c r="G1214" s="2">
        <v>1702.4553000000001</v>
      </c>
      <c r="H1214" s="1" t="str">
        <f>IF(A1214&lt;31,"18-30",IF(A1214&lt;46,"31-45",IF(A1214&lt;61,"46-60","60+")))</f>
        <v>18-30</v>
      </c>
      <c r="I1214" t="str">
        <f>IF(C1214&lt;18.5,"Underweight",IF(C1214&lt;25,"Normal",IF(C1214&lt;30,"Overweight","Obese")))</f>
        <v>Normal</v>
      </c>
      <c r="J1214">
        <f>IF(E1214="yes",1,0)</f>
        <v>0</v>
      </c>
      <c r="K1214" t="str">
        <f>IF(G1214&gt;15000,"High","Low")</f>
        <v>Low</v>
      </c>
    </row>
    <row r="1215" spans="1:11" x14ac:dyDescent="0.35">
      <c r="A1215">
        <v>52</v>
      </c>
      <c r="B1215" t="s">
        <v>2</v>
      </c>
      <c r="C1215">
        <v>33.299999999999997</v>
      </c>
      <c r="D1215">
        <v>2</v>
      </c>
      <c r="E1215" t="s">
        <v>4</v>
      </c>
      <c r="F1215" t="s">
        <v>3</v>
      </c>
      <c r="G1215" s="2">
        <v>10806.839</v>
      </c>
      <c r="H1215" s="1" t="str">
        <f>IF(A1215&lt;31,"18-30",IF(A1215&lt;46,"31-45",IF(A1215&lt;61,"46-60","60+")))</f>
        <v>46-60</v>
      </c>
      <c r="I1215" t="str">
        <f>IF(C1215&lt;18.5,"Underweight",IF(C1215&lt;25,"Normal",IF(C1215&lt;30,"Overweight","Obese")))</f>
        <v>Obese</v>
      </c>
      <c r="J1215">
        <f>IF(E1215="yes",1,0)</f>
        <v>0</v>
      </c>
      <c r="K1215" t="str">
        <f>IF(G1215&gt;15000,"High","Low")</f>
        <v>Low</v>
      </c>
    </row>
    <row r="1216" spans="1:11" x14ac:dyDescent="0.35">
      <c r="A1216">
        <v>27</v>
      </c>
      <c r="B1216" t="s">
        <v>2</v>
      </c>
      <c r="C1216">
        <v>31.254999999999999</v>
      </c>
      <c r="D1216">
        <v>1</v>
      </c>
      <c r="E1216" t="s">
        <v>4</v>
      </c>
      <c r="F1216" t="s">
        <v>0</v>
      </c>
      <c r="G1216" s="2">
        <v>3956.0714499999999</v>
      </c>
      <c r="H1216" s="1" t="str">
        <f>IF(A1216&lt;31,"18-30",IF(A1216&lt;46,"31-45",IF(A1216&lt;61,"46-60","60+")))</f>
        <v>18-30</v>
      </c>
      <c r="I1216" t="str">
        <f>IF(C1216&lt;18.5,"Underweight",IF(C1216&lt;25,"Normal",IF(C1216&lt;30,"Overweight","Obese")))</f>
        <v>Obese</v>
      </c>
      <c r="J1216">
        <f>IF(E1216="yes",1,0)</f>
        <v>0</v>
      </c>
      <c r="K1216" t="str">
        <f>IF(G1216&gt;15000,"High","Low")</f>
        <v>Low</v>
      </c>
    </row>
    <row r="1217" spans="1:11" x14ac:dyDescent="0.35">
      <c r="A1217">
        <v>18</v>
      </c>
      <c r="B1217" t="s">
        <v>7</v>
      </c>
      <c r="C1217">
        <v>39.14</v>
      </c>
      <c r="D1217">
        <v>0</v>
      </c>
      <c r="E1217" t="s">
        <v>4</v>
      </c>
      <c r="F1217" t="s">
        <v>6</v>
      </c>
      <c r="G1217" s="2">
        <v>12890.057650000001</v>
      </c>
      <c r="H1217" s="1" t="str">
        <f>IF(A1217&lt;31,"18-30",IF(A1217&lt;46,"31-45",IF(A1217&lt;61,"46-60","60+")))</f>
        <v>18-30</v>
      </c>
      <c r="I1217" t="str">
        <f>IF(C1217&lt;18.5,"Underweight",IF(C1217&lt;25,"Normal",IF(C1217&lt;30,"Overweight","Obese")))</f>
        <v>Obese</v>
      </c>
      <c r="J1217">
        <f>IF(E1217="yes",1,0)</f>
        <v>0</v>
      </c>
      <c r="K1217" t="str">
        <f>IF(G1217&gt;15000,"High","Low")</f>
        <v>Low</v>
      </c>
    </row>
    <row r="1218" spans="1:11" x14ac:dyDescent="0.35">
      <c r="A1218">
        <v>40</v>
      </c>
      <c r="B1218" t="s">
        <v>7</v>
      </c>
      <c r="C1218">
        <v>25.08</v>
      </c>
      <c r="D1218">
        <v>0</v>
      </c>
      <c r="E1218" t="s">
        <v>4</v>
      </c>
      <c r="F1218" t="s">
        <v>5</v>
      </c>
      <c r="G1218" s="2">
        <v>5415.6611999999996</v>
      </c>
      <c r="H1218" s="1" t="str">
        <f>IF(A1218&lt;31,"18-30",IF(A1218&lt;46,"31-45",IF(A1218&lt;61,"46-60","60+")))</f>
        <v>31-45</v>
      </c>
      <c r="I1218" t="str">
        <f>IF(C1218&lt;18.5,"Underweight",IF(C1218&lt;25,"Normal",IF(C1218&lt;30,"Overweight","Obese")))</f>
        <v>Overweight</v>
      </c>
      <c r="J1218">
        <f>IF(E1218="yes",1,0)</f>
        <v>0</v>
      </c>
      <c r="K1218" t="str">
        <f>IF(G1218&gt;15000,"High","Low")</f>
        <v>Low</v>
      </c>
    </row>
    <row r="1219" spans="1:11" x14ac:dyDescent="0.35">
      <c r="A1219">
        <v>29</v>
      </c>
      <c r="B1219" t="s">
        <v>7</v>
      </c>
      <c r="C1219">
        <v>37.29</v>
      </c>
      <c r="D1219">
        <v>2</v>
      </c>
      <c r="E1219" t="s">
        <v>4</v>
      </c>
      <c r="F1219" t="s">
        <v>5</v>
      </c>
      <c r="G1219" s="2">
        <v>4058.1161000000002</v>
      </c>
      <c r="H1219" s="1" t="str">
        <f>IF(A1219&lt;31,"18-30",IF(A1219&lt;46,"31-45",IF(A1219&lt;61,"46-60","60+")))</f>
        <v>18-30</v>
      </c>
      <c r="I1219" t="str">
        <f>IF(C1219&lt;18.5,"Underweight",IF(C1219&lt;25,"Normal",IF(C1219&lt;30,"Overweight","Obese")))</f>
        <v>Obese</v>
      </c>
      <c r="J1219">
        <f>IF(E1219="yes",1,0)</f>
        <v>0</v>
      </c>
      <c r="K1219" t="str">
        <f>IF(G1219&gt;15000,"High","Low")</f>
        <v>Low</v>
      </c>
    </row>
    <row r="1220" spans="1:11" x14ac:dyDescent="0.35">
      <c r="A1220">
        <v>46</v>
      </c>
      <c r="B1220" t="s">
        <v>2</v>
      </c>
      <c r="C1220">
        <v>34.6</v>
      </c>
      <c r="D1220">
        <v>1</v>
      </c>
      <c r="E1220" t="s">
        <v>1</v>
      </c>
      <c r="F1220" t="s">
        <v>3</v>
      </c>
      <c r="G1220" s="2">
        <v>41661.601999999999</v>
      </c>
      <c r="H1220" s="1" t="str">
        <f>IF(A1220&lt;31,"18-30",IF(A1220&lt;46,"31-45",IF(A1220&lt;61,"46-60","60+")))</f>
        <v>46-60</v>
      </c>
      <c r="I1220" t="str">
        <f>IF(C1220&lt;18.5,"Underweight",IF(C1220&lt;25,"Normal",IF(C1220&lt;30,"Overweight","Obese")))</f>
        <v>Obese</v>
      </c>
      <c r="J1220">
        <f>IF(E1220="yes",1,0)</f>
        <v>1</v>
      </c>
      <c r="K1220" t="str">
        <f>IF(G1220&gt;15000,"High","Low")</f>
        <v>High</v>
      </c>
    </row>
    <row r="1221" spans="1:11" x14ac:dyDescent="0.35">
      <c r="A1221">
        <v>38</v>
      </c>
      <c r="B1221" t="s">
        <v>2</v>
      </c>
      <c r="C1221">
        <v>30.21</v>
      </c>
      <c r="D1221">
        <v>3</v>
      </c>
      <c r="E1221" t="s">
        <v>4</v>
      </c>
      <c r="F1221" t="s">
        <v>0</v>
      </c>
      <c r="G1221" s="2">
        <v>7537.1638999999996</v>
      </c>
      <c r="H1221" s="1" t="str">
        <f>IF(A1221&lt;31,"18-30",IF(A1221&lt;46,"31-45",IF(A1221&lt;61,"46-60","60+")))</f>
        <v>31-45</v>
      </c>
      <c r="I1221" t="str">
        <f>IF(C1221&lt;18.5,"Underweight",IF(C1221&lt;25,"Normal",IF(C1221&lt;30,"Overweight","Obese")))</f>
        <v>Obese</v>
      </c>
      <c r="J1221">
        <f>IF(E1221="yes",1,0)</f>
        <v>0</v>
      </c>
      <c r="K1221" t="str">
        <f>IF(G1221&gt;15000,"High","Low")</f>
        <v>Low</v>
      </c>
    </row>
    <row r="1222" spans="1:11" x14ac:dyDescent="0.35">
      <c r="A1222">
        <v>30</v>
      </c>
      <c r="B1222" t="s">
        <v>2</v>
      </c>
      <c r="C1222">
        <v>21.945</v>
      </c>
      <c r="D1222">
        <v>1</v>
      </c>
      <c r="E1222" t="s">
        <v>4</v>
      </c>
      <c r="F1222" t="s">
        <v>6</v>
      </c>
      <c r="G1222" s="2">
        <v>4718.2035500000002</v>
      </c>
      <c r="H1222" s="1" t="str">
        <f>IF(A1222&lt;31,"18-30",IF(A1222&lt;46,"31-45",IF(A1222&lt;61,"46-60","60+")))</f>
        <v>18-30</v>
      </c>
      <c r="I1222" t="str">
        <f>IF(C1222&lt;18.5,"Underweight",IF(C1222&lt;25,"Normal",IF(C1222&lt;30,"Overweight","Obese")))</f>
        <v>Normal</v>
      </c>
      <c r="J1222">
        <f>IF(E1222="yes",1,0)</f>
        <v>0</v>
      </c>
      <c r="K1222" t="str">
        <f>IF(G1222&gt;15000,"High","Low")</f>
        <v>Low</v>
      </c>
    </row>
    <row r="1223" spans="1:11" x14ac:dyDescent="0.35">
      <c r="A1223">
        <v>40</v>
      </c>
      <c r="B1223" t="s">
        <v>7</v>
      </c>
      <c r="C1223">
        <v>24.97</v>
      </c>
      <c r="D1223">
        <v>2</v>
      </c>
      <c r="E1223" t="s">
        <v>4</v>
      </c>
      <c r="F1223" t="s">
        <v>5</v>
      </c>
      <c r="G1223" s="2">
        <v>6593.5083000000004</v>
      </c>
      <c r="H1223" s="1" t="str">
        <f>IF(A1223&lt;31,"18-30",IF(A1223&lt;46,"31-45",IF(A1223&lt;61,"46-60","60+")))</f>
        <v>31-45</v>
      </c>
      <c r="I1223" t="str">
        <f>IF(C1223&lt;18.5,"Underweight",IF(C1223&lt;25,"Normal",IF(C1223&lt;30,"Overweight","Obese")))</f>
        <v>Normal</v>
      </c>
      <c r="J1223">
        <f>IF(E1223="yes",1,0)</f>
        <v>0</v>
      </c>
      <c r="K1223" t="str">
        <f>IF(G1223&gt;15000,"High","Low")</f>
        <v>Low</v>
      </c>
    </row>
    <row r="1224" spans="1:11" x14ac:dyDescent="0.35">
      <c r="A1224">
        <v>50</v>
      </c>
      <c r="B1224" t="s">
        <v>7</v>
      </c>
      <c r="C1224">
        <v>25.3</v>
      </c>
      <c r="D1224">
        <v>0</v>
      </c>
      <c r="E1224" t="s">
        <v>4</v>
      </c>
      <c r="F1224" t="s">
        <v>5</v>
      </c>
      <c r="G1224" s="2">
        <v>8442.6669999999995</v>
      </c>
      <c r="H1224" s="1" t="str">
        <f>IF(A1224&lt;31,"18-30",IF(A1224&lt;46,"31-45",IF(A1224&lt;61,"46-60","60+")))</f>
        <v>46-60</v>
      </c>
      <c r="I1224" t="str">
        <f>IF(C1224&lt;18.5,"Underweight",IF(C1224&lt;25,"Normal",IF(C1224&lt;30,"Overweight","Obese")))</f>
        <v>Overweight</v>
      </c>
      <c r="J1224">
        <f>IF(E1224="yes",1,0)</f>
        <v>0</v>
      </c>
      <c r="K1224" t="str">
        <f>IF(G1224&gt;15000,"High","Low")</f>
        <v>Low</v>
      </c>
    </row>
    <row r="1225" spans="1:11" x14ac:dyDescent="0.35">
      <c r="A1225">
        <v>20</v>
      </c>
      <c r="B1225" t="s">
        <v>2</v>
      </c>
      <c r="C1225">
        <v>24.42</v>
      </c>
      <c r="D1225">
        <v>0</v>
      </c>
      <c r="E1225" t="s">
        <v>1</v>
      </c>
      <c r="F1225" t="s">
        <v>5</v>
      </c>
      <c r="G1225" s="2">
        <v>26125.674770000001</v>
      </c>
      <c r="H1225" s="1" t="str">
        <f>IF(A1225&lt;31,"18-30",IF(A1225&lt;46,"31-45",IF(A1225&lt;61,"46-60","60+")))</f>
        <v>18-30</v>
      </c>
      <c r="I1225" t="str">
        <f>IF(C1225&lt;18.5,"Underweight",IF(C1225&lt;25,"Normal",IF(C1225&lt;30,"Overweight","Obese")))</f>
        <v>Normal</v>
      </c>
      <c r="J1225">
        <f>IF(E1225="yes",1,0)</f>
        <v>1</v>
      </c>
      <c r="K1225" t="str">
        <f>IF(G1225&gt;15000,"High","Low")</f>
        <v>High</v>
      </c>
    </row>
    <row r="1226" spans="1:11" x14ac:dyDescent="0.35">
      <c r="A1226">
        <v>41</v>
      </c>
      <c r="B1226" t="s">
        <v>7</v>
      </c>
      <c r="C1226">
        <v>23.94</v>
      </c>
      <c r="D1226">
        <v>1</v>
      </c>
      <c r="E1226" t="s">
        <v>4</v>
      </c>
      <c r="F1226" t="s">
        <v>6</v>
      </c>
      <c r="G1226" s="2">
        <v>6858.4795999999997</v>
      </c>
      <c r="H1226" s="1" t="str">
        <f>IF(A1226&lt;31,"18-30",IF(A1226&lt;46,"31-45",IF(A1226&lt;61,"46-60","60+")))</f>
        <v>31-45</v>
      </c>
      <c r="I1226" t="str">
        <f>IF(C1226&lt;18.5,"Underweight",IF(C1226&lt;25,"Normal",IF(C1226&lt;30,"Overweight","Obese")))</f>
        <v>Normal</v>
      </c>
      <c r="J1226">
        <f>IF(E1226="yes",1,0)</f>
        <v>0</v>
      </c>
      <c r="K1226" t="str">
        <f>IF(G1226&gt;15000,"High","Low")</f>
        <v>Low</v>
      </c>
    </row>
    <row r="1227" spans="1:11" x14ac:dyDescent="0.35">
      <c r="A1227">
        <v>33</v>
      </c>
      <c r="B1227" t="s">
        <v>2</v>
      </c>
      <c r="C1227">
        <v>39.82</v>
      </c>
      <c r="D1227">
        <v>1</v>
      </c>
      <c r="E1227" t="s">
        <v>4</v>
      </c>
      <c r="F1227" t="s">
        <v>5</v>
      </c>
      <c r="G1227" s="2">
        <v>4795.6567999999997</v>
      </c>
      <c r="H1227" s="1" t="str">
        <f>IF(A1227&lt;31,"18-30",IF(A1227&lt;46,"31-45",IF(A1227&lt;61,"46-60","60+")))</f>
        <v>31-45</v>
      </c>
      <c r="I1227" t="str">
        <f>IF(C1227&lt;18.5,"Underweight",IF(C1227&lt;25,"Normal",IF(C1227&lt;30,"Overweight","Obese")))</f>
        <v>Obese</v>
      </c>
      <c r="J1227">
        <f>IF(E1227="yes",1,0)</f>
        <v>0</v>
      </c>
      <c r="K1227" t="str">
        <f>IF(G1227&gt;15000,"High","Low")</f>
        <v>Low</v>
      </c>
    </row>
    <row r="1228" spans="1:11" x14ac:dyDescent="0.35">
      <c r="A1228">
        <v>38</v>
      </c>
      <c r="B1228" t="s">
        <v>7</v>
      </c>
      <c r="C1228">
        <v>16.815000000000001</v>
      </c>
      <c r="D1228">
        <v>2</v>
      </c>
      <c r="E1228" t="s">
        <v>4</v>
      </c>
      <c r="F1228" t="s">
        <v>6</v>
      </c>
      <c r="G1228" s="2">
        <v>6640.5448500000002</v>
      </c>
      <c r="H1228" s="1" t="str">
        <f>IF(A1228&lt;31,"18-30",IF(A1228&lt;46,"31-45",IF(A1228&lt;61,"46-60","60+")))</f>
        <v>31-45</v>
      </c>
      <c r="I1228" t="str">
        <f>IF(C1228&lt;18.5,"Underweight",IF(C1228&lt;25,"Normal",IF(C1228&lt;30,"Overweight","Obese")))</f>
        <v>Underweight</v>
      </c>
      <c r="J1228">
        <f>IF(E1228="yes",1,0)</f>
        <v>0</v>
      </c>
      <c r="K1228" t="str">
        <f>IF(G1228&gt;15000,"High","Low")</f>
        <v>Low</v>
      </c>
    </row>
    <row r="1229" spans="1:11" x14ac:dyDescent="0.35">
      <c r="A1229">
        <v>42</v>
      </c>
      <c r="B1229" t="s">
        <v>7</v>
      </c>
      <c r="C1229">
        <v>37.18</v>
      </c>
      <c r="D1229">
        <v>2</v>
      </c>
      <c r="E1229" t="s">
        <v>4</v>
      </c>
      <c r="F1229" t="s">
        <v>5</v>
      </c>
      <c r="G1229" s="2">
        <v>7162.0122000000001</v>
      </c>
      <c r="H1229" s="1" t="str">
        <f>IF(A1229&lt;31,"18-30",IF(A1229&lt;46,"31-45",IF(A1229&lt;61,"46-60","60+")))</f>
        <v>31-45</v>
      </c>
      <c r="I1229" t="str">
        <f>IF(C1229&lt;18.5,"Underweight",IF(C1229&lt;25,"Normal",IF(C1229&lt;30,"Overweight","Obese")))</f>
        <v>Obese</v>
      </c>
      <c r="J1229">
        <f>IF(E1229="yes",1,0)</f>
        <v>0</v>
      </c>
      <c r="K1229" t="str">
        <f>IF(G1229&gt;15000,"High","Low")</f>
        <v>Low</v>
      </c>
    </row>
    <row r="1230" spans="1:11" x14ac:dyDescent="0.35">
      <c r="A1230">
        <v>56</v>
      </c>
      <c r="B1230" t="s">
        <v>7</v>
      </c>
      <c r="C1230">
        <v>34.43</v>
      </c>
      <c r="D1230">
        <v>0</v>
      </c>
      <c r="E1230" t="s">
        <v>4</v>
      </c>
      <c r="F1230" t="s">
        <v>5</v>
      </c>
      <c r="G1230" s="2">
        <v>10594.225700000001</v>
      </c>
      <c r="H1230" s="1" t="str">
        <f>IF(A1230&lt;31,"18-30",IF(A1230&lt;46,"31-45",IF(A1230&lt;61,"46-60","60+")))</f>
        <v>46-60</v>
      </c>
      <c r="I1230" t="str">
        <f>IF(C1230&lt;18.5,"Underweight",IF(C1230&lt;25,"Normal",IF(C1230&lt;30,"Overweight","Obese")))</f>
        <v>Obese</v>
      </c>
      <c r="J1230">
        <f>IF(E1230="yes",1,0)</f>
        <v>0</v>
      </c>
      <c r="K1230" t="str">
        <f>IF(G1230&gt;15000,"High","Low")</f>
        <v>Low</v>
      </c>
    </row>
    <row r="1231" spans="1:11" x14ac:dyDescent="0.35">
      <c r="A1231">
        <v>58</v>
      </c>
      <c r="B1231" t="s">
        <v>7</v>
      </c>
      <c r="C1231">
        <v>30.305</v>
      </c>
      <c r="D1231">
        <v>0</v>
      </c>
      <c r="E1231" t="s">
        <v>4</v>
      </c>
      <c r="F1231" t="s">
        <v>6</v>
      </c>
      <c r="G1231" s="2">
        <v>11938.255950000001</v>
      </c>
      <c r="H1231" s="1" t="str">
        <f>IF(A1231&lt;31,"18-30",IF(A1231&lt;46,"31-45",IF(A1231&lt;61,"46-60","60+")))</f>
        <v>46-60</v>
      </c>
      <c r="I1231" t="str">
        <f>IF(C1231&lt;18.5,"Underweight",IF(C1231&lt;25,"Normal",IF(C1231&lt;30,"Overweight","Obese")))</f>
        <v>Obese</v>
      </c>
      <c r="J1231">
        <f>IF(E1231="yes",1,0)</f>
        <v>0</v>
      </c>
      <c r="K1231" t="str">
        <f>IF(G1231&gt;15000,"High","Low")</f>
        <v>Low</v>
      </c>
    </row>
    <row r="1232" spans="1:11" x14ac:dyDescent="0.35">
      <c r="A1232">
        <v>52</v>
      </c>
      <c r="B1232" t="s">
        <v>7</v>
      </c>
      <c r="C1232">
        <v>34.484999999999999</v>
      </c>
      <c r="D1232">
        <v>3</v>
      </c>
      <c r="E1232" t="s">
        <v>1</v>
      </c>
      <c r="F1232" t="s">
        <v>0</v>
      </c>
      <c r="G1232" s="2">
        <v>60021.398970000002</v>
      </c>
      <c r="H1232" s="1" t="str">
        <f>IF(A1232&lt;31,"18-30",IF(A1232&lt;46,"31-45",IF(A1232&lt;61,"46-60","60+")))</f>
        <v>46-60</v>
      </c>
      <c r="I1232" t="str">
        <f>IF(C1232&lt;18.5,"Underweight",IF(C1232&lt;25,"Normal",IF(C1232&lt;30,"Overweight","Obese")))</f>
        <v>Obese</v>
      </c>
      <c r="J1232">
        <f>IF(E1232="yes",1,0)</f>
        <v>1</v>
      </c>
      <c r="K1232" t="str">
        <f>IF(G1232&gt;15000,"High","Low")</f>
        <v>High</v>
      </c>
    </row>
    <row r="1233" spans="1:11" x14ac:dyDescent="0.35">
      <c r="A1233">
        <v>20</v>
      </c>
      <c r="B1233" t="s">
        <v>2</v>
      </c>
      <c r="C1233">
        <v>21.8</v>
      </c>
      <c r="D1233">
        <v>0</v>
      </c>
      <c r="E1233" t="s">
        <v>1</v>
      </c>
      <c r="F1233" t="s">
        <v>3</v>
      </c>
      <c r="G1233" s="2">
        <v>20167.336029999999</v>
      </c>
      <c r="H1233" s="1" t="str">
        <f>IF(A1233&lt;31,"18-30",IF(A1233&lt;46,"31-45",IF(A1233&lt;61,"46-60","60+")))</f>
        <v>18-30</v>
      </c>
      <c r="I1233" t="str">
        <f>IF(C1233&lt;18.5,"Underweight",IF(C1233&lt;25,"Normal",IF(C1233&lt;30,"Overweight","Obese")))</f>
        <v>Normal</v>
      </c>
      <c r="J1233">
        <f>IF(E1233="yes",1,0)</f>
        <v>1</v>
      </c>
      <c r="K1233" t="str">
        <f>IF(G1233&gt;15000,"High","Low")</f>
        <v>High</v>
      </c>
    </row>
    <row r="1234" spans="1:11" x14ac:dyDescent="0.35">
      <c r="A1234">
        <v>54</v>
      </c>
      <c r="B1234" t="s">
        <v>2</v>
      </c>
      <c r="C1234">
        <v>24.605</v>
      </c>
      <c r="D1234">
        <v>3</v>
      </c>
      <c r="E1234" t="s">
        <v>4</v>
      </c>
      <c r="F1234" t="s">
        <v>0</v>
      </c>
      <c r="G1234" s="2">
        <v>12479.70895</v>
      </c>
      <c r="H1234" s="1" t="str">
        <f>IF(A1234&lt;31,"18-30",IF(A1234&lt;46,"31-45",IF(A1234&lt;61,"46-60","60+")))</f>
        <v>46-60</v>
      </c>
      <c r="I1234" t="str">
        <f>IF(C1234&lt;18.5,"Underweight",IF(C1234&lt;25,"Normal",IF(C1234&lt;30,"Overweight","Obese")))</f>
        <v>Normal</v>
      </c>
      <c r="J1234">
        <f>IF(E1234="yes",1,0)</f>
        <v>0</v>
      </c>
      <c r="K1234" t="str">
        <f>IF(G1234&gt;15000,"High","Low")</f>
        <v>Low</v>
      </c>
    </row>
    <row r="1235" spans="1:11" x14ac:dyDescent="0.35">
      <c r="A1235">
        <v>58</v>
      </c>
      <c r="B1235" t="s">
        <v>7</v>
      </c>
      <c r="C1235">
        <v>23.3</v>
      </c>
      <c r="D1235">
        <v>0</v>
      </c>
      <c r="E1235" t="s">
        <v>4</v>
      </c>
      <c r="F1235" t="s">
        <v>3</v>
      </c>
      <c r="G1235" s="2">
        <v>11345.519</v>
      </c>
      <c r="H1235" s="1" t="str">
        <f>IF(A1235&lt;31,"18-30",IF(A1235&lt;46,"31-45",IF(A1235&lt;61,"46-60","60+")))</f>
        <v>46-60</v>
      </c>
      <c r="I1235" t="str">
        <f>IF(C1235&lt;18.5,"Underweight",IF(C1235&lt;25,"Normal",IF(C1235&lt;30,"Overweight","Obese")))</f>
        <v>Normal</v>
      </c>
      <c r="J1235">
        <f>IF(E1235="yes",1,0)</f>
        <v>0</v>
      </c>
      <c r="K1235" t="str">
        <f>IF(G1235&gt;15000,"High","Low")</f>
        <v>Low</v>
      </c>
    </row>
    <row r="1236" spans="1:11" x14ac:dyDescent="0.35">
      <c r="A1236">
        <v>45</v>
      </c>
      <c r="B1236" t="s">
        <v>2</v>
      </c>
      <c r="C1236">
        <v>27.83</v>
      </c>
      <c r="D1236">
        <v>2</v>
      </c>
      <c r="E1236" t="s">
        <v>4</v>
      </c>
      <c r="F1236" t="s">
        <v>5</v>
      </c>
      <c r="G1236" s="2">
        <v>8515.7587000000003</v>
      </c>
      <c r="H1236" s="1" t="str">
        <f>IF(A1236&lt;31,"18-30",IF(A1236&lt;46,"31-45",IF(A1236&lt;61,"46-60","60+")))</f>
        <v>31-45</v>
      </c>
      <c r="I1236" t="str">
        <f>IF(C1236&lt;18.5,"Underweight",IF(C1236&lt;25,"Normal",IF(C1236&lt;30,"Overweight","Obese")))</f>
        <v>Overweight</v>
      </c>
      <c r="J1236">
        <f>IF(E1236="yes",1,0)</f>
        <v>0</v>
      </c>
      <c r="K1236" t="str">
        <f>IF(G1236&gt;15000,"High","Low")</f>
        <v>Low</v>
      </c>
    </row>
    <row r="1237" spans="1:11" x14ac:dyDescent="0.35">
      <c r="A1237">
        <v>26</v>
      </c>
      <c r="B1237" t="s">
        <v>7</v>
      </c>
      <c r="C1237">
        <v>31.065000000000001</v>
      </c>
      <c r="D1237">
        <v>0</v>
      </c>
      <c r="E1237" t="s">
        <v>4</v>
      </c>
      <c r="F1237" t="s">
        <v>0</v>
      </c>
      <c r="G1237" s="2">
        <v>2699.56835</v>
      </c>
      <c r="H1237" s="1" t="str">
        <f>IF(A1237&lt;31,"18-30",IF(A1237&lt;46,"31-45",IF(A1237&lt;61,"46-60","60+")))</f>
        <v>18-30</v>
      </c>
      <c r="I1237" t="str">
        <f>IF(C1237&lt;18.5,"Underweight",IF(C1237&lt;25,"Normal",IF(C1237&lt;30,"Overweight","Obese")))</f>
        <v>Obese</v>
      </c>
      <c r="J1237">
        <f>IF(E1237="yes",1,0)</f>
        <v>0</v>
      </c>
      <c r="K1237" t="str">
        <f>IF(G1237&gt;15000,"High","Low")</f>
        <v>Low</v>
      </c>
    </row>
    <row r="1238" spans="1:11" x14ac:dyDescent="0.35">
      <c r="A1238">
        <v>63</v>
      </c>
      <c r="B1238" t="s">
        <v>2</v>
      </c>
      <c r="C1238">
        <v>21.66</v>
      </c>
      <c r="D1238">
        <v>0</v>
      </c>
      <c r="E1238" t="s">
        <v>4</v>
      </c>
      <c r="F1238" t="s">
        <v>6</v>
      </c>
      <c r="G1238" s="2">
        <v>14449.8544</v>
      </c>
      <c r="H1238" s="1" t="str">
        <f>IF(A1238&lt;31,"18-30",IF(A1238&lt;46,"31-45",IF(A1238&lt;61,"46-60","60+")))</f>
        <v>60+</v>
      </c>
      <c r="I1238" t="str">
        <f>IF(C1238&lt;18.5,"Underweight",IF(C1238&lt;25,"Normal",IF(C1238&lt;30,"Overweight","Obese")))</f>
        <v>Normal</v>
      </c>
      <c r="J1238">
        <f>IF(E1238="yes",1,0)</f>
        <v>0</v>
      </c>
      <c r="K1238" t="str">
        <f>IF(G1238&gt;15000,"High","Low")</f>
        <v>Low</v>
      </c>
    </row>
    <row r="1239" spans="1:11" x14ac:dyDescent="0.35">
      <c r="A1239">
        <v>58</v>
      </c>
      <c r="B1239" t="s">
        <v>2</v>
      </c>
      <c r="C1239">
        <v>28.215</v>
      </c>
      <c r="D1239">
        <v>0</v>
      </c>
      <c r="E1239" t="s">
        <v>4</v>
      </c>
      <c r="F1239" t="s">
        <v>0</v>
      </c>
      <c r="G1239" s="2">
        <v>12224.350850000001</v>
      </c>
      <c r="H1239" s="1" t="str">
        <f>IF(A1239&lt;31,"18-30",IF(A1239&lt;46,"31-45",IF(A1239&lt;61,"46-60","60+")))</f>
        <v>46-60</v>
      </c>
      <c r="I1239" t="str">
        <f>IF(C1239&lt;18.5,"Underweight",IF(C1239&lt;25,"Normal",IF(C1239&lt;30,"Overweight","Obese")))</f>
        <v>Overweight</v>
      </c>
      <c r="J1239">
        <f>IF(E1239="yes",1,0)</f>
        <v>0</v>
      </c>
      <c r="K1239" t="str">
        <f>IF(G1239&gt;15000,"High","Low")</f>
        <v>Low</v>
      </c>
    </row>
    <row r="1240" spans="1:11" x14ac:dyDescent="0.35">
      <c r="A1240">
        <v>37</v>
      </c>
      <c r="B1240" t="s">
        <v>7</v>
      </c>
      <c r="C1240">
        <v>22.704999999999998</v>
      </c>
      <c r="D1240">
        <v>3</v>
      </c>
      <c r="E1240" t="s">
        <v>4</v>
      </c>
      <c r="F1240" t="s">
        <v>6</v>
      </c>
      <c r="G1240" s="2">
        <v>6985.50695</v>
      </c>
      <c r="H1240" s="1" t="str">
        <f>IF(A1240&lt;31,"18-30",IF(A1240&lt;46,"31-45",IF(A1240&lt;61,"46-60","60+")))</f>
        <v>31-45</v>
      </c>
      <c r="I1240" t="str">
        <f>IF(C1240&lt;18.5,"Underweight",IF(C1240&lt;25,"Normal",IF(C1240&lt;30,"Overweight","Obese")))</f>
        <v>Normal</v>
      </c>
      <c r="J1240">
        <f>IF(E1240="yes",1,0)</f>
        <v>0</v>
      </c>
      <c r="K1240" t="str">
        <f>IF(G1240&gt;15000,"High","Low")</f>
        <v>Low</v>
      </c>
    </row>
    <row r="1241" spans="1:11" x14ac:dyDescent="0.35">
      <c r="A1241">
        <v>25</v>
      </c>
      <c r="B1241" t="s">
        <v>2</v>
      </c>
      <c r="C1241">
        <v>42.13</v>
      </c>
      <c r="D1241">
        <v>1</v>
      </c>
      <c r="E1241" t="s">
        <v>4</v>
      </c>
      <c r="F1241" t="s">
        <v>5</v>
      </c>
      <c r="G1241" s="2">
        <v>3238.4357</v>
      </c>
      <c r="H1241" s="1" t="str">
        <f>IF(A1241&lt;31,"18-30",IF(A1241&lt;46,"31-45",IF(A1241&lt;61,"46-60","60+")))</f>
        <v>18-30</v>
      </c>
      <c r="I1241" t="str">
        <f>IF(C1241&lt;18.5,"Underweight",IF(C1241&lt;25,"Normal",IF(C1241&lt;30,"Overweight","Obese")))</f>
        <v>Obese</v>
      </c>
      <c r="J1241">
        <f>IF(E1241="yes",1,0)</f>
        <v>0</v>
      </c>
      <c r="K1241" t="str">
        <f>IF(G1241&gt;15000,"High","Low")</f>
        <v>Low</v>
      </c>
    </row>
    <row r="1242" spans="1:11" x14ac:dyDescent="0.35">
      <c r="A1242">
        <v>52</v>
      </c>
      <c r="B1242" t="s">
        <v>7</v>
      </c>
      <c r="C1242">
        <v>41.8</v>
      </c>
      <c r="D1242">
        <v>2</v>
      </c>
      <c r="E1242" t="s">
        <v>1</v>
      </c>
      <c r="F1242" t="s">
        <v>5</v>
      </c>
      <c r="G1242" s="2">
        <v>47269.853999999999</v>
      </c>
      <c r="H1242" s="1" t="str">
        <f>IF(A1242&lt;31,"18-30",IF(A1242&lt;46,"31-45",IF(A1242&lt;61,"46-60","60+")))</f>
        <v>46-60</v>
      </c>
      <c r="I1242" t="str">
        <f>IF(C1242&lt;18.5,"Underweight",IF(C1242&lt;25,"Normal",IF(C1242&lt;30,"Overweight","Obese")))</f>
        <v>Obese</v>
      </c>
      <c r="J1242">
        <f>IF(E1242="yes",1,0)</f>
        <v>1</v>
      </c>
      <c r="K1242" t="str">
        <f>IF(G1242&gt;15000,"High","Low")</f>
        <v>High</v>
      </c>
    </row>
    <row r="1243" spans="1:11" x14ac:dyDescent="0.35">
      <c r="A1243">
        <v>64</v>
      </c>
      <c r="B1243" t="s">
        <v>7</v>
      </c>
      <c r="C1243">
        <v>36.96</v>
      </c>
      <c r="D1243">
        <v>2</v>
      </c>
      <c r="E1243" t="s">
        <v>1</v>
      </c>
      <c r="F1243" t="s">
        <v>5</v>
      </c>
      <c r="G1243" s="2">
        <v>49577.662400000001</v>
      </c>
      <c r="H1243" s="1" t="str">
        <f>IF(A1243&lt;31,"18-30",IF(A1243&lt;46,"31-45",IF(A1243&lt;61,"46-60","60+")))</f>
        <v>60+</v>
      </c>
      <c r="I1243" t="str">
        <f>IF(C1243&lt;18.5,"Underweight",IF(C1243&lt;25,"Normal",IF(C1243&lt;30,"Overweight","Obese")))</f>
        <v>Obese</v>
      </c>
      <c r="J1243">
        <f>IF(E1243="yes",1,0)</f>
        <v>1</v>
      </c>
      <c r="K1243" t="str">
        <f>IF(G1243&gt;15000,"High","Low")</f>
        <v>High</v>
      </c>
    </row>
    <row r="1244" spans="1:11" x14ac:dyDescent="0.35">
      <c r="A1244">
        <v>22</v>
      </c>
      <c r="B1244" t="s">
        <v>2</v>
      </c>
      <c r="C1244">
        <v>21.28</v>
      </c>
      <c r="D1244">
        <v>3</v>
      </c>
      <c r="E1244" t="s">
        <v>4</v>
      </c>
      <c r="F1244" t="s">
        <v>0</v>
      </c>
      <c r="G1244" s="2">
        <v>4296.2712000000001</v>
      </c>
      <c r="H1244" s="1" t="str">
        <f>IF(A1244&lt;31,"18-30",IF(A1244&lt;46,"31-45",IF(A1244&lt;61,"46-60","60+")))</f>
        <v>18-30</v>
      </c>
      <c r="I1244" t="str">
        <f>IF(C1244&lt;18.5,"Underweight",IF(C1244&lt;25,"Normal",IF(C1244&lt;30,"Overweight","Obese")))</f>
        <v>Normal</v>
      </c>
      <c r="J1244">
        <f>IF(E1244="yes",1,0)</f>
        <v>0</v>
      </c>
      <c r="K1244" t="str">
        <f>IF(G1244&gt;15000,"High","Low")</f>
        <v>Low</v>
      </c>
    </row>
    <row r="1245" spans="1:11" x14ac:dyDescent="0.35">
      <c r="A1245">
        <v>28</v>
      </c>
      <c r="B1245" t="s">
        <v>2</v>
      </c>
      <c r="C1245">
        <v>33.11</v>
      </c>
      <c r="D1245">
        <v>0</v>
      </c>
      <c r="E1245" t="s">
        <v>4</v>
      </c>
      <c r="F1245" t="s">
        <v>5</v>
      </c>
      <c r="G1245" s="2">
        <v>3171.6149</v>
      </c>
      <c r="H1245" s="1" t="str">
        <f>IF(A1245&lt;31,"18-30",IF(A1245&lt;46,"31-45",IF(A1245&lt;61,"46-60","60+")))</f>
        <v>18-30</v>
      </c>
      <c r="I1245" t="str">
        <f>IF(C1245&lt;18.5,"Underweight",IF(C1245&lt;25,"Normal",IF(C1245&lt;30,"Overweight","Obese")))</f>
        <v>Obese</v>
      </c>
      <c r="J1245">
        <f>IF(E1245="yes",1,0)</f>
        <v>0</v>
      </c>
      <c r="K1245" t="str">
        <f>IF(G1245&gt;15000,"High","Low")</f>
        <v>Low</v>
      </c>
    </row>
    <row r="1246" spans="1:11" x14ac:dyDescent="0.35">
      <c r="A1246">
        <v>18</v>
      </c>
      <c r="B1246" t="s">
        <v>7</v>
      </c>
      <c r="C1246">
        <v>33.33</v>
      </c>
      <c r="D1246">
        <v>0</v>
      </c>
      <c r="E1246" t="s">
        <v>4</v>
      </c>
      <c r="F1246" t="s">
        <v>5</v>
      </c>
      <c r="G1246" s="2">
        <v>1135.9407000000001</v>
      </c>
      <c r="H1246" s="1" t="str">
        <f>IF(A1246&lt;31,"18-30",IF(A1246&lt;46,"31-45",IF(A1246&lt;61,"46-60","60+")))</f>
        <v>18-30</v>
      </c>
      <c r="I1246" t="str">
        <f>IF(C1246&lt;18.5,"Underweight",IF(C1246&lt;25,"Normal",IF(C1246&lt;30,"Overweight","Obese")))</f>
        <v>Obese</v>
      </c>
      <c r="J1246">
        <f>IF(E1246="yes",1,0)</f>
        <v>0</v>
      </c>
      <c r="K1246" t="str">
        <f>IF(G1246&gt;15000,"High","Low")</f>
        <v>Low</v>
      </c>
    </row>
    <row r="1247" spans="1:11" x14ac:dyDescent="0.35">
      <c r="A1247">
        <v>28</v>
      </c>
      <c r="B1247" t="s">
        <v>7</v>
      </c>
      <c r="C1247">
        <v>24.3</v>
      </c>
      <c r="D1247">
        <v>5</v>
      </c>
      <c r="E1247" t="s">
        <v>4</v>
      </c>
      <c r="F1247" t="s">
        <v>3</v>
      </c>
      <c r="G1247" s="2">
        <v>5615.3689999999997</v>
      </c>
      <c r="H1247" s="1" t="str">
        <f>IF(A1247&lt;31,"18-30",IF(A1247&lt;46,"31-45",IF(A1247&lt;61,"46-60","60+")))</f>
        <v>18-30</v>
      </c>
      <c r="I1247" t="str">
        <f>IF(C1247&lt;18.5,"Underweight",IF(C1247&lt;25,"Normal",IF(C1247&lt;30,"Overweight","Obese")))</f>
        <v>Normal</v>
      </c>
      <c r="J1247">
        <f>IF(E1247="yes",1,0)</f>
        <v>0</v>
      </c>
      <c r="K1247" t="str">
        <f>IF(G1247&gt;15000,"High","Low")</f>
        <v>Low</v>
      </c>
    </row>
    <row r="1248" spans="1:11" x14ac:dyDescent="0.35">
      <c r="A1248">
        <v>45</v>
      </c>
      <c r="B1248" t="s">
        <v>2</v>
      </c>
      <c r="C1248">
        <v>25.7</v>
      </c>
      <c r="D1248">
        <v>3</v>
      </c>
      <c r="E1248" t="s">
        <v>4</v>
      </c>
      <c r="F1248" t="s">
        <v>3</v>
      </c>
      <c r="G1248" s="2">
        <v>9101.7980000000007</v>
      </c>
      <c r="H1248" s="1" t="str">
        <f>IF(A1248&lt;31,"18-30",IF(A1248&lt;46,"31-45",IF(A1248&lt;61,"46-60","60+")))</f>
        <v>31-45</v>
      </c>
      <c r="I1248" t="str">
        <f>IF(C1248&lt;18.5,"Underweight",IF(C1248&lt;25,"Normal",IF(C1248&lt;30,"Overweight","Obese")))</f>
        <v>Overweight</v>
      </c>
      <c r="J1248">
        <f>IF(E1248="yes",1,0)</f>
        <v>0</v>
      </c>
      <c r="K1248" t="str">
        <f>IF(G1248&gt;15000,"High","Low")</f>
        <v>Low</v>
      </c>
    </row>
    <row r="1249" spans="1:11" x14ac:dyDescent="0.35">
      <c r="A1249">
        <v>33</v>
      </c>
      <c r="B1249" t="s">
        <v>7</v>
      </c>
      <c r="C1249">
        <v>29.4</v>
      </c>
      <c r="D1249">
        <v>4</v>
      </c>
      <c r="E1249" t="s">
        <v>4</v>
      </c>
      <c r="F1249" t="s">
        <v>3</v>
      </c>
      <c r="G1249" s="2">
        <v>6059.1729999999998</v>
      </c>
      <c r="H1249" s="1" t="str">
        <f>IF(A1249&lt;31,"18-30",IF(A1249&lt;46,"31-45",IF(A1249&lt;61,"46-60","60+")))</f>
        <v>31-45</v>
      </c>
      <c r="I1249" t="str">
        <f>IF(C1249&lt;18.5,"Underweight",IF(C1249&lt;25,"Normal",IF(C1249&lt;30,"Overweight","Obese")))</f>
        <v>Overweight</v>
      </c>
      <c r="J1249">
        <f>IF(E1249="yes",1,0)</f>
        <v>0</v>
      </c>
      <c r="K1249" t="str">
        <f>IF(G1249&gt;15000,"High","Low")</f>
        <v>Low</v>
      </c>
    </row>
    <row r="1250" spans="1:11" x14ac:dyDescent="0.35">
      <c r="A1250">
        <v>18</v>
      </c>
      <c r="B1250" t="s">
        <v>2</v>
      </c>
      <c r="C1250">
        <v>39.82</v>
      </c>
      <c r="D1250">
        <v>0</v>
      </c>
      <c r="E1250" t="s">
        <v>4</v>
      </c>
      <c r="F1250" t="s">
        <v>5</v>
      </c>
      <c r="G1250" s="2">
        <v>1633.9618</v>
      </c>
      <c r="H1250" s="1" t="str">
        <f>IF(A1250&lt;31,"18-30",IF(A1250&lt;46,"31-45",IF(A1250&lt;61,"46-60","60+")))</f>
        <v>18-30</v>
      </c>
      <c r="I1250" t="str">
        <f>IF(C1250&lt;18.5,"Underweight",IF(C1250&lt;25,"Normal",IF(C1250&lt;30,"Overweight","Obese")))</f>
        <v>Obese</v>
      </c>
      <c r="J1250">
        <f>IF(E1250="yes",1,0)</f>
        <v>0</v>
      </c>
      <c r="K1250" t="str">
        <f>IF(G1250&gt;15000,"High","Low")</f>
        <v>Low</v>
      </c>
    </row>
    <row r="1251" spans="1:11" x14ac:dyDescent="0.35">
      <c r="A1251">
        <v>32</v>
      </c>
      <c r="B1251" t="s">
        <v>7</v>
      </c>
      <c r="C1251">
        <v>33.630000000000003</v>
      </c>
      <c r="D1251">
        <v>1</v>
      </c>
      <c r="E1251" t="s">
        <v>1</v>
      </c>
      <c r="F1251" t="s">
        <v>6</v>
      </c>
      <c r="G1251" s="2">
        <v>37607.527699999999</v>
      </c>
      <c r="H1251" s="1" t="str">
        <f>IF(A1251&lt;31,"18-30",IF(A1251&lt;46,"31-45",IF(A1251&lt;61,"46-60","60+")))</f>
        <v>31-45</v>
      </c>
      <c r="I1251" t="str">
        <f>IF(C1251&lt;18.5,"Underweight",IF(C1251&lt;25,"Normal",IF(C1251&lt;30,"Overweight","Obese")))</f>
        <v>Obese</v>
      </c>
      <c r="J1251">
        <f>IF(E1251="yes",1,0)</f>
        <v>1</v>
      </c>
      <c r="K1251" t="str">
        <f>IF(G1251&gt;15000,"High","Low")</f>
        <v>High</v>
      </c>
    </row>
    <row r="1252" spans="1:11" x14ac:dyDescent="0.35">
      <c r="A1252">
        <v>24</v>
      </c>
      <c r="B1252" t="s">
        <v>7</v>
      </c>
      <c r="C1252">
        <v>29.83</v>
      </c>
      <c r="D1252">
        <v>0</v>
      </c>
      <c r="E1252" t="s">
        <v>1</v>
      </c>
      <c r="F1252" t="s">
        <v>6</v>
      </c>
      <c r="G1252" s="2">
        <v>18648.421699999999</v>
      </c>
      <c r="H1252" s="1" t="str">
        <f>IF(A1252&lt;31,"18-30",IF(A1252&lt;46,"31-45",IF(A1252&lt;61,"46-60","60+")))</f>
        <v>18-30</v>
      </c>
      <c r="I1252" t="str">
        <f>IF(C1252&lt;18.5,"Underweight",IF(C1252&lt;25,"Normal",IF(C1252&lt;30,"Overweight","Obese")))</f>
        <v>Overweight</v>
      </c>
      <c r="J1252">
        <f>IF(E1252="yes",1,0)</f>
        <v>1</v>
      </c>
      <c r="K1252" t="str">
        <f>IF(G1252&gt;15000,"High","Low")</f>
        <v>High</v>
      </c>
    </row>
    <row r="1253" spans="1:11" x14ac:dyDescent="0.35">
      <c r="A1253">
        <v>19</v>
      </c>
      <c r="B1253" t="s">
        <v>7</v>
      </c>
      <c r="C1253">
        <v>19.8</v>
      </c>
      <c r="D1253">
        <v>0</v>
      </c>
      <c r="E1253" t="s">
        <v>4</v>
      </c>
      <c r="F1253" t="s">
        <v>3</v>
      </c>
      <c r="G1253" s="2">
        <v>1241.5650000000001</v>
      </c>
      <c r="H1253" s="1" t="str">
        <f>IF(A1253&lt;31,"18-30",IF(A1253&lt;46,"31-45",IF(A1253&lt;61,"46-60","60+")))</f>
        <v>18-30</v>
      </c>
      <c r="I1253" t="str">
        <f>IF(C1253&lt;18.5,"Underweight",IF(C1253&lt;25,"Normal",IF(C1253&lt;30,"Overweight","Obese")))</f>
        <v>Normal</v>
      </c>
      <c r="J1253">
        <f>IF(E1253="yes",1,0)</f>
        <v>0</v>
      </c>
      <c r="K1253" t="str">
        <f>IF(G1253&gt;15000,"High","Low")</f>
        <v>Low</v>
      </c>
    </row>
    <row r="1254" spans="1:11" x14ac:dyDescent="0.35">
      <c r="A1254">
        <v>20</v>
      </c>
      <c r="B1254" t="s">
        <v>7</v>
      </c>
      <c r="C1254">
        <v>27.3</v>
      </c>
      <c r="D1254">
        <v>0</v>
      </c>
      <c r="E1254" t="s">
        <v>1</v>
      </c>
      <c r="F1254" t="s">
        <v>3</v>
      </c>
      <c r="G1254" s="2">
        <v>16232.847</v>
      </c>
      <c r="H1254" s="1" t="str">
        <f>IF(A1254&lt;31,"18-30",IF(A1254&lt;46,"31-45",IF(A1254&lt;61,"46-60","60+")))</f>
        <v>18-30</v>
      </c>
      <c r="I1254" t="str">
        <f>IF(C1254&lt;18.5,"Underweight",IF(C1254&lt;25,"Normal",IF(C1254&lt;30,"Overweight","Obese")))</f>
        <v>Overweight</v>
      </c>
      <c r="J1254">
        <f>IF(E1254="yes",1,0)</f>
        <v>1</v>
      </c>
      <c r="K1254" t="str">
        <f>IF(G1254&gt;15000,"High","Low")</f>
        <v>High</v>
      </c>
    </row>
    <row r="1255" spans="1:11" x14ac:dyDescent="0.35">
      <c r="A1255">
        <v>40</v>
      </c>
      <c r="B1255" t="s">
        <v>2</v>
      </c>
      <c r="C1255">
        <v>29.3</v>
      </c>
      <c r="D1255">
        <v>4</v>
      </c>
      <c r="E1255" t="s">
        <v>4</v>
      </c>
      <c r="F1255" t="s">
        <v>3</v>
      </c>
      <c r="G1255" s="2">
        <v>15828.82173</v>
      </c>
      <c r="H1255" s="1" t="str">
        <f>IF(A1255&lt;31,"18-30",IF(A1255&lt;46,"31-45",IF(A1255&lt;61,"46-60","60+")))</f>
        <v>31-45</v>
      </c>
      <c r="I1255" t="str">
        <f>IF(C1255&lt;18.5,"Underweight",IF(C1255&lt;25,"Normal",IF(C1255&lt;30,"Overweight","Obese")))</f>
        <v>Overweight</v>
      </c>
      <c r="J1255">
        <f>IF(E1255="yes",1,0)</f>
        <v>0</v>
      </c>
      <c r="K1255" t="str">
        <f>IF(G1255&gt;15000,"High","Low")</f>
        <v>High</v>
      </c>
    </row>
    <row r="1256" spans="1:11" x14ac:dyDescent="0.35">
      <c r="A1256">
        <v>34</v>
      </c>
      <c r="B1256" t="s">
        <v>2</v>
      </c>
      <c r="C1256">
        <v>27.72</v>
      </c>
      <c r="D1256">
        <v>0</v>
      </c>
      <c r="E1256" t="s">
        <v>4</v>
      </c>
      <c r="F1256" t="s">
        <v>5</v>
      </c>
      <c r="G1256" s="2">
        <v>4415.1588000000002</v>
      </c>
      <c r="H1256" s="1" t="str">
        <f>IF(A1256&lt;31,"18-30",IF(A1256&lt;46,"31-45",IF(A1256&lt;61,"46-60","60+")))</f>
        <v>31-45</v>
      </c>
      <c r="I1256" t="str">
        <f>IF(C1256&lt;18.5,"Underweight",IF(C1256&lt;25,"Normal",IF(C1256&lt;30,"Overweight","Obese")))</f>
        <v>Overweight</v>
      </c>
      <c r="J1256">
        <f>IF(E1256="yes",1,0)</f>
        <v>0</v>
      </c>
      <c r="K1256" t="str">
        <f>IF(G1256&gt;15000,"High","Low")</f>
        <v>Low</v>
      </c>
    </row>
    <row r="1257" spans="1:11" x14ac:dyDescent="0.35">
      <c r="A1257">
        <v>42</v>
      </c>
      <c r="B1257" t="s">
        <v>2</v>
      </c>
      <c r="C1257">
        <v>37.9</v>
      </c>
      <c r="D1257">
        <v>0</v>
      </c>
      <c r="E1257" t="s">
        <v>4</v>
      </c>
      <c r="F1257" t="s">
        <v>3</v>
      </c>
      <c r="G1257" s="2">
        <v>6474.0129999999999</v>
      </c>
      <c r="H1257" s="1" t="str">
        <f>IF(A1257&lt;31,"18-30",IF(A1257&lt;46,"31-45",IF(A1257&lt;61,"46-60","60+")))</f>
        <v>31-45</v>
      </c>
      <c r="I1257" t="str">
        <f>IF(C1257&lt;18.5,"Underweight",IF(C1257&lt;25,"Normal",IF(C1257&lt;30,"Overweight","Obese")))</f>
        <v>Obese</v>
      </c>
      <c r="J1257">
        <f>IF(E1257="yes",1,0)</f>
        <v>0</v>
      </c>
      <c r="K1257" t="str">
        <f>IF(G1257&gt;15000,"High","Low")</f>
        <v>Low</v>
      </c>
    </row>
    <row r="1258" spans="1:11" x14ac:dyDescent="0.35">
      <c r="A1258">
        <v>51</v>
      </c>
      <c r="B1258" t="s">
        <v>2</v>
      </c>
      <c r="C1258">
        <v>36.384999999999998</v>
      </c>
      <c r="D1258">
        <v>3</v>
      </c>
      <c r="E1258" t="s">
        <v>4</v>
      </c>
      <c r="F1258" t="s">
        <v>0</v>
      </c>
      <c r="G1258" s="2">
        <v>11436.738149999999</v>
      </c>
      <c r="H1258" s="1" t="str">
        <f>IF(A1258&lt;31,"18-30",IF(A1258&lt;46,"31-45",IF(A1258&lt;61,"46-60","60+")))</f>
        <v>46-60</v>
      </c>
      <c r="I1258" t="str">
        <f>IF(C1258&lt;18.5,"Underweight",IF(C1258&lt;25,"Normal",IF(C1258&lt;30,"Overweight","Obese")))</f>
        <v>Obese</v>
      </c>
      <c r="J1258">
        <f>IF(E1258="yes",1,0)</f>
        <v>0</v>
      </c>
      <c r="K1258" t="str">
        <f>IF(G1258&gt;15000,"High","Low")</f>
        <v>Low</v>
      </c>
    </row>
    <row r="1259" spans="1:11" x14ac:dyDescent="0.35">
      <c r="A1259">
        <v>54</v>
      </c>
      <c r="B1259" t="s">
        <v>2</v>
      </c>
      <c r="C1259">
        <v>27.645</v>
      </c>
      <c r="D1259">
        <v>1</v>
      </c>
      <c r="E1259" t="s">
        <v>4</v>
      </c>
      <c r="F1259" t="s">
        <v>0</v>
      </c>
      <c r="G1259" s="2">
        <v>11305.93455</v>
      </c>
      <c r="H1259" s="1" t="str">
        <f>IF(A1259&lt;31,"18-30",IF(A1259&lt;46,"31-45",IF(A1259&lt;61,"46-60","60+")))</f>
        <v>46-60</v>
      </c>
      <c r="I1259" t="str">
        <f>IF(C1259&lt;18.5,"Underweight",IF(C1259&lt;25,"Normal",IF(C1259&lt;30,"Overweight","Obese")))</f>
        <v>Overweight</v>
      </c>
      <c r="J1259">
        <f>IF(E1259="yes",1,0)</f>
        <v>0</v>
      </c>
      <c r="K1259" t="str">
        <f>IF(G1259&gt;15000,"High","Low")</f>
        <v>Low</v>
      </c>
    </row>
    <row r="1260" spans="1:11" x14ac:dyDescent="0.35">
      <c r="A1260">
        <v>55</v>
      </c>
      <c r="B1260" t="s">
        <v>7</v>
      </c>
      <c r="C1260">
        <v>37.715000000000003</v>
      </c>
      <c r="D1260">
        <v>3</v>
      </c>
      <c r="E1260" t="s">
        <v>4</v>
      </c>
      <c r="F1260" t="s">
        <v>0</v>
      </c>
      <c r="G1260" s="2">
        <v>30063.580549999999</v>
      </c>
      <c r="H1260" s="1" t="str">
        <f>IF(A1260&lt;31,"18-30",IF(A1260&lt;46,"31-45",IF(A1260&lt;61,"46-60","60+")))</f>
        <v>46-60</v>
      </c>
      <c r="I1260" t="str">
        <f>IF(C1260&lt;18.5,"Underweight",IF(C1260&lt;25,"Normal",IF(C1260&lt;30,"Overweight","Obese")))</f>
        <v>Obese</v>
      </c>
      <c r="J1260">
        <f>IF(E1260="yes",1,0)</f>
        <v>0</v>
      </c>
      <c r="K1260" t="str">
        <f>IF(G1260&gt;15000,"High","Low")</f>
        <v>High</v>
      </c>
    </row>
    <row r="1261" spans="1:11" x14ac:dyDescent="0.35">
      <c r="A1261">
        <v>52</v>
      </c>
      <c r="B1261" t="s">
        <v>2</v>
      </c>
      <c r="C1261">
        <v>23.18</v>
      </c>
      <c r="D1261">
        <v>0</v>
      </c>
      <c r="E1261" t="s">
        <v>4</v>
      </c>
      <c r="F1261" t="s">
        <v>6</v>
      </c>
      <c r="G1261" s="2">
        <v>10197.772199999999</v>
      </c>
      <c r="H1261" s="1" t="str">
        <f>IF(A1261&lt;31,"18-30",IF(A1261&lt;46,"31-45",IF(A1261&lt;61,"46-60","60+")))</f>
        <v>46-60</v>
      </c>
      <c r="I1261" t="str">
        <f>IF(C1261&lt;18.5,"Underweight",IF(C1261&lt;25,"Normal",IF(C1261&lt;30,"Overweight","Obese")))</f>
        <v>Normal</v>
      </c>
      <c r="J1261">
        <f>IF(E1261="yes",1,0)</f>
        <v>0</v>
      </c>
      <c r="K1261" t="str">
        <f>IF(G1261&gt;15000,"High","Low")</f>
        <v>Low</v>
      </c>
    </row>
    <row r="1262" spans="1:11" x14ac:dyDescent="0.35">
      <c r="A1262">
        <v>32</v>
      </c>
      <c r="B1262" t="s">
        <v>2</v>
      </c>
      <c r="C1262">
        <v>20.52</v>
      </c>
      <c r="D1262">
        <v>0</v>
      </c>
      <c r="E1262" t="s">
        <v>4</v>
      </c>
      <c r="F1262" t="s">
        <v>6</v>
      </c>
      <c r="G1262" s="2">
        <v>4544.2348000000002</v>
      </c>
      <c r="H1262" s="1" t="str">
        <f>IF(A1262&lt;31,"18-30",IF(A1262&lt;46,"31-45",IF(A1262&lt;61,"46-60","60+")))</f>
        <v>31-45</v>
      </c>
      <c r="I1262" t="str">
        <f>IF(C1262&lt;18.5,"Underweight",IF(C1262&lt;25,"Normal",IF(C1262&lt;30,"Overweight","Obese")))</f>
        <v>Normal</v>
      </c>
      <c r="J1262">
        <f>IF(E1262="yes",1,0)</f>
        <v>0</v>
      </c>
      <c r="K1262" t="str">
        <f>IF(G1262&gt;15000,"High","Low")</f>
        <v>Low</v>
      </c>
    </row>
    <row r="1263" spans="1:11" x14ac:dyDescent="0.35">
      <c r="A1263">
        <v>28</v>
      </c>
      <c r="B1263" t="s">
        <v>7</v>
      </c>
      <c r="C1263">
        <v>37.1</v>
      </c>
      <c r="D1263">
        <v>1</v>
      </c>
      <c r="E1263" t="s">
        <v>4</v>
      </c>
      <c r="F1263" t="s">
        <v>3</v>
      </c>
      <c r="G1263" s="2">
        <v>3277.1610000000001</v>
      </c>
      <c r="H1263" s="1" t="str">
        <f>IF(A1263&lt;31,"18-30",IF(A1263&lt;46,"31-45",IF(A1263&lt;61,"46-60","60+")))</f>
        <v>18-30</v>
      </c>
      <c r="I1263" t="str">
        <f>IF(C1263&lt;18.5,"Underweight",IF(C1263&lt;25,"Normal",IF(C1263&lt;30,"Overweight","Obese")))</f>
        <v>Obese</v>
      </c>
      <c r="J1263">
        <f>IF(E1263="yes",1,0)</f>
        <v>0</v>
      </c>
      <c r="K1263" t="str">
        <f>IF(G1263&gt;15000,"High","Low")</f>
        <v>Low</v>
      </c>
    </row>
    <row r="1264" spans="1:11" x14ac:dyDescent="0.35">
      <c r="A1264">
        <v>41</v>
      </c>
      <c r="B1264" t="s">
        <v>2</v>
      </c>
      <c r="C1264">
        <v>28.05</v>
      </c>
      <c r="D1264">
        <v>1</v>
      </c>
      <c r="E1264" t="s">
        <v>4</v>
      </c>
      <c r="F1264" t="s">
        <v>5</v>
      </c>
      <c r="G1264" s="2">
        <v>6770.1925000000001</v>
      </c>
      <c r="H1264" s="1" t="str">
        <f>IF(A1264&lt;31,"18-30",IF(A1264&lt;46,"31-45",IF(A1264&lt;61,"46-60","60+")))</f>
        <v>31-45</v>
      </c>
      <c r="I1264" t="str">
        <f>IF(C1264&lt;18.5,"Underweight",IF(C1264&lt;25,"Normal",IF(C1264&lt;30,"Overweight","Obese")))</f>
        <v>Overweight</v>
      </c>
      <c r="J1264">
        <f>IF(E1264="yes",1,0)</f>
        <v>0</v>
      </c>
      <c r="K1264" t="str">
        <f>IF(G1264&gt;15000,"High","Low")</f>
        <v>Low</v>
      </c>
    </row>
    <row r="1265" spans="1:11" x14ac:dyDescent="0.35">
      <c r="A1265">
        <v>43</v>
      </c>
      <c r="B1265" t="s">
        <v>2</v>
      </c>
      <c r="C1265">
        <v>29.9</v>
      </c>
      <c r="D1265">
        <v>1</v>
      </c>
      <c r="E1265" t="s">
        <v>4</v>
      </c>
      <c r="F1265" t="s">
        <v>3</v>
      </c>
      <c r="G1265" s="2">
        <v>7337.7479999999996</v>
      </c>
      <c r="H1265" s="1" t="str">
        <f>IF(A1265&lt;31,"18-30",IF(A1265&lt;46,"31-45",IF(A1265&lt;61,"46-60","60+")))</f>
        <v>31-45</v>
      </c>
      <c r="I1265" t="str">
        <f>IF(C1265&lt;18.5,"Underweight",IF(C1265&lt;25,"Normal",IF(C1265&lt;30,"Overweight","Obese")))</f>
        <v>Overweight</v>
      </c>
      <c r="J1265">
        <f>IF(E1265="yes",1,0)</f>
        <v>0</v>
      </c>
      <c r="K1265" t="str">
        <f>IF(G1265&gt;15000,"High","Low")</f>
        <v>Low</v>
      </c>
    </row>
    <row r="1266" spans="1:11" x14ac:dyDescent="0.35">
      <c r="A1266">
        <v>49</v>
      </c>
      <c r="B1266" t="s">
        <v>2</v>
      </c>
      <c r="C1266">
        <v>33.344999999999999</v>
      </c>
      <c r="D1266">
        <v>2</v>
      </c>
      <c r="E1266" t="s">
        <v>4</v>
      </c>
      <c r="F1266" t="s">
        <v>6</v>
      </c>
      <c r="G1266" s="2">
        <v>10370.912549999999</v>
      </c>
      <c r="H1266" s="1" t="str">
        <f>IF(A1266&lt;31,"18-30",IF(A1266&lt;46,"31-45",IF(A1266&lt;61,"46-60","60+")))</f>
        <v>46-60</v>
      </c>
      <c r="I1266" t="str">
        <f>IF(C1266&lt;18.5,"Underweight",IF(C1266&lt;25,"Normal",IF(C1266&lt;30,"Overweight","Obese")))</f>
        <v>Obese</v>
      </c>
      <c r="J1266">
        <f>IF(E1266="yes",1,0)</f>
        <v>0</v>
      </c>
      <c r="K1266" t="str">
        <f>IF(G1266&gt;15000,"High","Low")</f>
        <v>Low</v>
      </c>
    </row>
    <row r="1267" spans="1:11" x14ac:dyDescent="0.35">
      <c r="A1267">
        <v>64</v>
      </c>
      <c r="B1267" t="s">
        <v>7</v>
      </c>
      <c r="C1267">
        <v>23.76</v>
      </c>
      <c r="D1267">
        <v>0</v>
      </c>
      <c r="E1267" t="s">
        <v>1</v>
      </c>
      <c r="F1267" t="s">
        <v>5</v>
      </c>
      <c r="G1267" s="2">
        <v>26926.5144</v>
      </c>
      <c r="H1267" s="1" t="str">
        <f>IF(A1267&lt;31,"18-30",IF(A1267&lt;46,"31-45",IF(A1267&lt;61,"46-60","60+")))</f>
        <v>60+</v>
      </c>
      <c r="I1267" t="str">
        <f>IF(C1267&lt;18.5,"Underweight",IF(C1267&lt;25,"Normal",IF(C1267&lt;30,"Overweight","Obese")))</f>
        <v>Normal</v>
      </c>
      <c r="J1267">
        <f>IF(E1267="yes",1,0)</f>
        <v>1</v>
      </c>
      <c r="K1267" t="str">
        <f>IF(G1267&gt;15000,"High","Low")</f>
        <v>High</v>
      </c>
    </row>
    <row r="1268" spans="1:11" x14ac:dyDescent="0.35">
      <c r="A1268">
        <v>55</v>
      </c>
      <c r="B1268" t="s">
        <v>2</v>
      </c>
      <c r="C1268">
        <v>30.5</v>
      </c>
      <c r="D1268">
        <v>0</v>
      </c>
      <c r="E1268" t="s">
        <v>4</v>
      </c>
      <c r="F1268" t="s">
        <v>3</v>
      </c>
      <c r="G1268" s="2">
        <v>10704.47</v>
      </c>
      <c r="H1268" s="1" t="str">
        <f>IF(A1268&lt;31,"18-30",IF(A1268&lt;46,"31-45",IF(A1268&lt;61,"46-60","60+")))</f>
        <v>46-60</v>
      </c>
      <c r="I1268" t="str">
        <f>IF(C1268&lt;18.5,"Underweight",IF(C1268&lt;25,"Normal",IF(C1268&lt;30,"Overweight","Obese")))</f>
        <v>Obese</v>
      </c>
      <c r="J1268">
        <f>IF(E1268="yes",1,0)</f>
        <v>0</v>
      </c>
      <c r="K1268" t="str">
        <f>IF(G1268&gt;15000,"High","Low")</f>
        <v>Low</v>
      </c>
    </row>
    <row r="1269" spans="1:11" x14ac:dyDescent="0.35">
      <c r="A1269">
        <v>24</v>
      </c>
      <c r="B1269" t="s">
        <v>7</v>
      </c>
      <c r="C1269">
        <v>31.065000000000001</v>
      </c>
      <c r="D1269">
        <v>0</v>
      </c>
      <c r="E1269" t="s">
        <v>1</v>
      </c>
      <c r="F1269" t="s">
        <v>6</v>
      </c>
      <c r="G1269" s="2">
        <v>34254.053350000002</v>
      </c>
      <c r="H1269" s="1" t="str">
        <f>IF(A1269&lt;31,"18-30",IF(A1269&lt;46,"31-45",IF(A1269&lt;61,"46-60","60+")))</f>
        <v>18-30</v>
      </c>
      <c r="I1269" t="str">
        <f>IF(C1269&lt;18.5,"Underweight",IF(C1269&lt;25,"Normal",IF(C1269&lt;30,"Overweight","Obese")))</f>
        <v>Obese</v>
      </c>
      <c r="J1269">
        <f>IF(E1269="yes",1,0)</f>
        <v>1</v>
      </c>
      <c r="K1269" t="str">
        <f>IF(G1269&gt;15000,"High","Low")</f>
        <v>High</v>
      </c>
    </row>
    <row r="1270" spans="1:11" x14ac:dyDescent="0.35">
      <c r="A1270">
        <v>20</v>
      </c>
      <c r="B1270" t="s">
        <v>2</v>
      </c>
      <c r="C1270">
        <v>33.299999999999997</v>
      </c>
      <c r="D1270">
        <v>0</v>
      </c>
      <c r="E1270" t="s">
        <v>4</v>
      </c>
      <c r="F1270" t="s">
        <v>3</v>
      </c>
      <c r="G1270" s="2">
        <v>1880.4870000000001</v>
      </c>
      <c r="H1270" s="1" t="str">
        <f>IF(A1270&lt;31,"18-30",IF(A1270&lt;46,"31-45",IF(A1270&lt;61,"46-60","60+")))</f>
        <v>18-30</v>
      </c>
      <c r="I1270" t="str">
        <f>IF(C1270&lt;18.5,"Underweight",IF(C1270&lt;25,"Normal",IF(C1270&lt;30,"Overweight","Obese")))</f>
        <v>Obese</v>
      </c>
      <c r="J1270">
        <f>IF(E1270="yes",1,0)</f>
        <v>0</v>
      </c>
      <c r="K1270" t="str">
        <f>IF(G1270&gt;15000,"High","Low")</f>
        <v>Low</v>
      </c>
    </row>
    <row r="1271" spans="1:11" x14ac:dyDescent="0.35">
      <c r="A1271">
        <v>45</v>
      </c>
      <c r="B1271" t="s">
        <v>7</v>
      </c>
      <c r="C1271">
        <v>27.5</v>
      </c>
      <c r="D1271">
        <v>3</v>
      </c>
      <c r="E1271" t="s">
        <v>4</v>
      </c>
      <c r="F1271" t="s">
        <v>3</v>
      </c>
      <c r="G1271" s="2">
        <v>8615.2999999999993</v>
      </c>
      <c r="H1271" s="1" t="str">
        <f>IF(A1271&lt;31,"18-30",IF(A1271&lt;46,"31-45",IF(A1271&lt;61,"46-60","60+")))</f>
        <v>31-45</v>
      </c>
      <c r="I1271" t="str">
        <f>IF(C1271&lt;18.5,"Underweight",IF(C1271&lt;25,"Normal",IF(C1271&lt;30,"Overweight","Obese")))</f>
        <v>Overweight</v>
      </c>
      <c r="J1271">
        <f>IF(E1271="yes",1,0)</f>
        <v>0</v>
      </c>
      <c r="K1271" t="str">
        <f>IF(G1271&gt;15000,"High","Low")</f>
        <v>Low</v>
      </c>
    </row>
    <row r="1272" spans="1:11" x14ac:dyDescent="0.35">
      <c r="A1272">
        <v>26</v>
      </c>
      <c r="B1272" t="s">
        <v>7</v>
      </c>
      <c r="C1272">
        <v>33.914999999999999</v>
      </c>
      <c r="D1272">
        <v>1</v>
      </c>
      <c r="E1272" t="s">
        <v>4</v>
      </c>
      <c r="F1272" t="s">
        <v>0</v>
      </c>
      <c r="G1272" s="2">
        <v>3292.5298499999999</v>
      </c>
      <c r="H1272" s="1" t="str">
        <f>IF(A1272&lt;31,"18-30",IF(A1272&lt;46,"31-45",IF(A1272&lt;61,"46-60","60+")))</f>
        <v>18-30</v>
      </c>
      <c r="I1272" t="str">
        <f>IF(C1272&lt;18.5,"Underweight",IF(C1272&lt;25,"Normal",IF(C1272&lt;30,"Overweight","Obese")))</f>
        <v>Obese</v>
      </c>
      <c r="J1272">
        <f>IF(E1272="yes",1,0)</f>
        <v>0</v>
      </c>
      <c r="K1272" t="str">
        <f>IF(G1272&gt;15000,"High","Low")</f>
        <v>Low</v>
      </c>
    </row>
    <row r="1273" spans="1:11" x14ac:dyDescent="0.35">
      <c r="A1273">
        <v>25</v>
      </c>
      <c r="B1273" t="s">
        <v>2</v>
      </c>
      <c r="C1273">
        <v>34.484999999999999</v>
      </c>
      <c r="D1273">
        <v>0</v>
      </c>
      <c r="E1273" t="s">
        <v>4</v>
      </c>
      <c r="F1273" t="s">
        <v>0</v>
      </c>
      <c r="G1273" s="2">
        <v>3021.80915</v>
      </c>
      <c r="H1273" s="1" t="str">
        <f>IF(A1273&lt;31,"18-30",IF(A1273&lt;46,"31-45",IF(A1273&lt;61,"46-60","60+")))</f>
        <v>18-30</v>
      </c>
      <c r="I1273" t="str">
        <f>IF(C1273&lt;18.5,"Underweight",IF(C1273&lt;25,"Normal",IF(C1273&lt;30,"Overweight","Obese")))</f>
        <v>Obese</v>
      </c>
      <c r="J1273">
        <f>IF(E1273="yes",1,0)</f>
        <v>0</v>
      </c>
      <c r="K1273" t="str">
        <f>IF(G1273&gt;15000,"High","Low")</f>
        <v>Low</v>
      </c>
    </row>
    <row r="1274" spans="1:11" x14ac:dyDescent="0.35">
      <c r="A1274">
        <v>43</v>
      </c>
      <c r="B1274" t="s">
        <v>7</v>
      </c>
      <c r="C1274">
        <v>25.52</v>
      </c>
      <c r="D1274">
        <v>5</v>
      </c>
      <c r="E1274" t="s">
        <v>4</v>
      </c>
      <c r="F1274" t="s">
        <v>5</v>
      </c>
      <c r="G1274" s="2">
        <v>14478.33015</v>
      </c>
      <c r="H1274" s="1" t="str">
        <f>IF(A1274&lt;31,"18-30",IF(A1274&lt;46,"31-45",IF(A1274&lt;61,"46-60","60+")))</f>
        <v>31-45</v>
      </c>
      <c r="I1274" t="str">
        <f>IF(C1274&lt;18.5,"Underweight",IF(C1274&lt;25,"Normal",IF(C1274&lt;30,"Overweight","Obese")))</f>
        <v>Overweight</v>
      </c>
      <c r="J1274">
        <f>IF(E1274="yes",1,0)</f>
        <v>0</v>
      </c>
      <c r="K1274" t="str">
        <f>IF(G1274&gt;15000,"High","Low")</f>
        <v>Low</v>
      </c>
    </row>
    <row r="1275" spans="1:11" x14ac:dyDescent="0.35">
      <c r="A1275">
        <v>35</v>
      </c>
      <c r="B1275" t="s">
        <v>7</v>
      </c>
      <c r="C1275">
        <v>27.61</v>
      </c>
      <c r="D1275">
        <v>1</v>
      </c>
      <c r="E1275" t="s">
        <v>4</v>
      </c>
      <c r="F1275" t="s">
        <v>5</v>
      </c>
      <c r="G1275" s="2">
        <v>4747.0528999999997</v>
      </c>
      <c r="H1275" s="1" t="str">
        <f>IF(A1275&lt;31,"18-30",IF(A1275&lt;46,"31-45",IF(A1275&lt;61,"46-60","60+")))</f>
        <v>31-45</v>
      </c>
      <c r="I1275" t="str">
        <f>IF(C1275&lt;18.5,"Underweight",IF(C1275&lt;25,"Normal",IF(C1275&lt;30,"Overweight","Obese")))</f>
        <v>Overweight</v>
      </c>
      <c r="J1275">
        <f>IF(E1275="yes",1,0)</f>
        <v>0</v>
      </c>
      <c r="K1275" t="str">
        <f>IF(G1275&gt;15000,"High","Low")</f>
        <v>Low</v>
      </c>
    </row>
    <row r="1276" spans="1:11" x14ac:dyDescent="0.35">
      <c r="A1276">
        <v>26</v>
      </c>
      <c r="B1276" t="s">
        <v>7</v>
      </c>
      <c r="C1276">
        <v>27.06</v>
      </c>
      <c r="D1276">
        <v>0</v>
      </c>
      <c r="E1276" t="s">
        <v>1</v>
      </c>
      <c r="F1276" t="s">
        <v>5</v>
      </c>
      <c r="G1276" s="2">
        <v>17043.341400000001</v>
      </c>
      <c r="H1276" s="1" t="str">
        <f>IF(A1276&lt;31,"18-30",IF(A1276&lt;46,"31-45",IF(A1276&lt;61,"46-60","60+")))</f>
        <v>18-30</v>
      </c>
      <c r="I1276" t="str">
        <f>IF(C1276&lt;18.5,"Underweight",IF(C1276&lt;25,"Normal",IF(C1276&lt;30,"Overweight","Obese")))</f>
        <v>Overweight</v>
      </c>
      <c r="J1276">
        <f>IF(E1276="yes",1,0)</f>
        <v>1</v>
      </c>
      <c r="K1276" t="str">
        <f>IF(G1276&gt;15000,"High","Low")</f>
        <v>High</v>
      </c>
    </row>
    <row r="1277" spans="1:11" x14ac:dyDescent="0.35">
      <c r="A1277">
        <v>57</v>
      </c>
      <c r="B1277" t="s">
        <v>7</v>
      </c>
      <c r="C1277">
        <v>23.7</v>
      </c>
      <c r="D1277">
        <v>0</v>
      </c>
      <c r="E1277" t="s">
        <v>4</v>
      </c>
      <c r="F1277" t="s">
        <v>3</v>
      </c>
      <c r="G1277" s="2">
        <v>10959.33</v>
      </c>
      <c r="H1277" s="1" t="str">
        <f>IF(A1277&lt;31,"18-30",IF(A1277&lt;46,"31-45",IF(A1277&lt;61,"46-60","60+")))</f>
        <v>46-60</v>
      </c>
      <c r="I1277" t="str">
        <f>IF(C1277&lt;18.5,"Underweight",IF(C1277&lt;25,"Normal",IF(C1277&lt;30,"Overweight","Obese")))</f>
        <v>Normal</v>
      </c>
      <c r="J1277">
        <f>IF(E1277="yes",1,0)</f>
        <v>0</v>
      </c>
      <c r="K1277" t="str">
        <f>IF(G1277&gt;15000,"High","Low")</f>
        <v>Low</v>
      </c>
    </row>
    <row r="1278" spans="1:11" x14ac:dyDescent="0.35">
      <c r="A1278">
        <v>22</v>
      </c>
      <c r="B1278" t="s">
        <v>2</v>
      </c>
      <c r="C1278">
        <v>30.4</v>
      </c>
      <c r="D1278">
        <v>0</v>
      </c>
      <c r="E1278" t="s">
        <v>4</v>
      </c>
      <c r="F1278" t="s">
        <v>6</v>
      </c>
      <c r="G1278" s="2">
        <v>2741.9479999999999</v>
      </c>
      <c r="H1278" s="1" t="str">
        <f>IF(A1278&lt;31,"18-30",IF(A1278&lt;46,"31-45",IF(A1278&lt;61,"46-60","60+")))</f>
        <v>18-30</v>
      </c>
      <c r="I1278" t="str">
        <f>IF(C1278&lt;18.5,"Underweight",IF(C1278&lt;25,"Normal",IF(C1278&lt;30,"Overweight","Obese")))</f>
        <v>Obese</v>
      </c>
      <c r="J1278">
        <f>IF(E1278="yes",1,0)</f>
        <v>0</v>
      </c>
      <c r="K1278" t="str">
        <f>IF(G1278&gt;15000,"High","Low")</f>
        <v>Low</v>
      </c>
    </row>
    <row r="1279" spans="1:11" x14ac:dyDescent="0.35">
      <c r="A1279">
        <v>32</v>
      </c>
      <c r="B1279" t="s">
        <v>2</v>
      </c>
      <c r="C1279">
        <v>29.734999999999999</v>
      </c>
      <c r="D1279">
        <v>0</v>
      </c>
      <c r="E1279" t="s">
        <v>4</v>
      </c>
      <c r="F1279" t="s">
        <v>0</v>
      </c>
      <c r="G1279" s="2">
        <v>4357.0436499999996</v>
      </c>
      <c r="H1279" s="1" t="str">
        <f>IF(A1279&lt;31,"18-30",IF(A1279&lt;46,"31-45",IF(A1279&lt;61,"46-60","60+")))</f>
        <v>31-45</v>
      </c>
      <c r="I1279" t="str">
        <f>IF(C1279&lt;18.5,"Underweight",IF(C1279&lt;25,"Normal",IF(C1279&lt;30,"Overweight","Obese")))</f>
        <v>Overweight</v>
      </c>
      <c r="J1279">
        <f>IF(E1279="yes",1,0)</f>
        <v>0</v>
      </c>
      <c r="K1279" t="str">
        <f>IF(G1279&gt;15000,"High","Low")</f>
        <v>Low</v>
      </c>
    </row>
    <row r="1280" spans="1:11" x14ac:dyDescent="0.35">
      <c r="A1280">
        <v>39</v>
      </c>
      <c r="B1280" t="s">
        <v>7</v>
      </c>
      <c r="C1280">
        <v>29.925000000000001</v>
      </c>
      <c r="D1280">
        <v>1</v>
      </c>
      <c r="E1280" t="s">
        <v>1</v>
      </c>
      <c r="F1280" t="s">
        <v>6</v>
      </c>
      <c r="G1280" s="2">
        <v>22462.043750000001</v>
      </c>
      <c r="H1280" s="1" t="str">
        <f>IF(A1280&lt;31,"18-30",IF(A1280&lt;46,"31-45",IF(A1280&lt;61,"46-60","60+")))</f>
        <v>31-45</v>
      </c>
      <c r="I1280" t="str">
        <f>IF(C1280&lt;18.5,"Underweight",IF(C1280&lt;25,"Normal",IF(C1280&lt;30,"Overweight","Obese")))</f>
        <v>Overweight</v>
      </c>
      <c r="J1280">
        <f>IF(E1280="yes",1,0)</f>
        <v>1</v>
      </c>
      <c r="K1280" t="str">
        <f>IF(G1280&gt;15000,"High","Low")</f>
        <v>High</v>
      </c>
    </row>
    <row r="1281" spans="1:11" x14ac:dyDescent="0.35">
      <c r="A1281">
        <v>25</v>
      </c>
      <c r="B1281" t="s">
        <v>2</v>
      </c>
      <c r="C1281">
        <v>26.79</v>
      </c>
      <c r="D1281">
        <v>2</v>
      </c>
      <c r="E1281" t="s">
        <v>4</v>
      </c>
      <c r="F1281" t="s">
        <v>0</v>
      </c>
      <c r="G1281" s="2">
        <v>4189.1130999999996</v>
      </c>
      <c r="H1281" s="1" t="str">
        <f>IF(A1281&lt;31,"18-30",IF(A1281&lt;46,"31-45",IF(A1281&lt;61,"46-60","60+")))</f>
        <v>18-30</v>
      </c>
      <c r="I1281" t="str">
        <f>IF(C1281&lt;18.5,"Underweight",IF(C1281&lt;25,"Normal",IF(C1281&lt;30,"Overweight","Obese")))</f>
        <v>Overweight</v>
      </c>
      <c r="J1281">
        <f>IF(E1281="yes",1,0)</f>
        <v>0</v>
      </c>
      <c r="K1281" t="str">
        <f>IF(G1281&gt;15000,"High","Low")</f>
        <v>Low</v>
      </c>
    </row>
    <row r="1282" spans="1:11" x14ac:dyDescent="0.35">
      <c r="A1282">
        <v>48</v>
      </c>
      <c r="B1282" t="s">
        <v>2</v>
      </c>
      <c r="C1282">
        <v>33.33</v>
      </c>
      <c r="D1282">
        <v>0</v>
      </c>
      <c r="E1282" t="s">
        <v>4</v>
      </c>
      <c r="F1282" t="s">
        <v>5</v>
      </c>
      <c r="G1282" s="2">
        <v>8283.6807000000008</v>
      </c>
      <c r="H1282" s="1" t="str">
        <f>IF(A1282&lt;31,"18-30",IF(A1282&lt;46,"31-45",IF(A1282&lt;61,"46-60","60+")))</f>
        <v>46-60</v>
      </c>
      <c r="I1282" t="str">
        <f>IF(C1282&lt;18.5,"Underweight",IF(C1282&lt;25,"Normal",IF(C1282&lt;30,"Overweight","Obese")))</f>
        <v>Obese</v>
      </c>
      <c r="J1282">
        <f>IF(E1282="yes",1,0)</f>
        <v>0</v>
      </c>
      <c r="K1282" t="str">
        <f>IF(G1282&gt;15000,"High","Low")</f>
        <v>Low</v>
      </c>
    </row>
    <row r="1283" spans="1:11" x14ac:dyDescent="0.35">
      <c r="A1283">
        <v>47</v>
      </c>
      <c r="B1283" t="s">
        <v>2</v>
      </c>
      <c r="C1283">
        <v>27.645</v>
      </c>
      <c r="D1283">
        <v>2</v>
      </c>
      <c r="E1283" t="s">
        <v>1</v>
      </c>
      <c r="F1283" t="s">
        <v>0</v>
      </c>
      <c r="G1283" s="2">
        <v>24535.698550000001</v>
      </c>
      <c r="H1283" s="1" t="str">
        <f>IF(A1283&lt;31,"18-30",IF(A1283&lt;46,"31-45",IF(A1283&lt;61,"46-60","60+")))</f>
        <v>46-60</v>
      </c>
      <c r="I1283" t="str">
        <f>IF(C1283&lt;18.5,"Underweight",IF(C1283&lt;25,"Normal",IF(C1283&lt;30,"Overweight","Obese")))</f>
        <v>Overweight</v>
      </c>
      <c r="J1283">
        <f>IF(E1283="yes",1,0)</f>
        <v>1</v>
      </c>
      <c r="K1283" t="str">
        <f>IF(G1283&gt;15000,"High","Low")</f>
        <v>High</v>
      </c>
    </row>
    <row r="1284" spans="1:11" x14ac:dyDescent="0.35">
      <c r="A1284">
        <v>18</v>
      </c>
      <c r="B1284" t="s">
        <v>2</v>
      </c>
      <c r="C1284">
        <v>21.66</v>
      </c>
      <c r="D1284">
        <v>0</v>
      </c>
      <c r="E1284" t="s">
        <v>1</v>
      </c>
      <c r="F1284" t="s">
        <v>6</v>
      </c>
      <c r="G1284" s="2">
        <v>14283.4594</v>
      </c>
      <c r="H1284" s="1" t="str">
        <f>IF(A1284&lt;31,"18-30",IF(A1284&lt;46,"31-45",IF(A1284&lt;61,"46-60","60+")))</f>
        <v>18-30</v>
      </c>
      <c r="I1284" t="str">
        <f>IF(C1284&lt;18.5,"Underweight",IF(C1284&lt;25,"Normal",IF(C1284&lt;30,"Overweight","Obese")))</f>
        <v>Normal</v>
      </c>
      <c r="J1284">
        <f>IF(E1284="yes",1,0)</f>
        <v>1</v>
      </c>
      <c r="K1284" t="str">
        <f>IF(G1284&gt;15000,"High","Low")</f>
        <v>Low</v>
      </c>
    </row>
    <row r="1285" spans="1:11" x14ac:dyDescent="0.35">
      <c r="A1285">
        <v>18</v>
      </c>
      <c r="B1285" t="s">
        <v>7</v>
      </c>
      <c r="C1285">
        <v>30.03</v>
      </c>
      <c r="D1285">
        <v>1</v>
      </c>
      <c r="E1285" t="s">
        <v>4</v>
      </c>
      <c r="F1285" t="s">
        <v>5</v>
      </c>
      <c r="G1285" s="2">
        <v>1720.3536999999999</v>
      </c>
      <c r="H1285" s="1" t="str">
        <f>IF(A1285&lt;31,"18-30",IF(A1285&lt;46,"31-45",IF(A1285&lt;61,"46-60","60+")))</f>
        <v>18-30</v>
      </c>
      <c r="I1285" t="str">
        <f>IF(C1285&lt;18.5,"Underweight",IF(C1285&lt;25,"Normal",IF(C1285&lt;30,"Overweight","Obese")))</f>
        <v>Obese</v>
      </c>
      <c r="J1285">
        <f>IF(E1285="yes",1,0)</f>
        <v>0</v>
      </c>
      <c r="K1285" t="str">
        <f>IF(G1285&gt;15000,"High","Low")</f>
        <v>Low</v>
      </c>
    </row>
    <row r="1286" spans="1:11" x14ac:dyDescent="0.35">
      <c r="A1286">
        <v>61</v>
      </c>
      <c r="B1286" t="s">
        <v>7</v>
      </c>
      <c r="C1286">
        <v>36.299999999999997</v>
      </c>
      <c r="D1286">
        <v>1</v>
      </c>
      <c r="E1286" t="s">
        <v>1</v>
      </c>
      <c r="F1286" t="s">
        <v>3</v>
      </c>
      <c r="G1286" s="2">
        <v>47403.88</v>
      </c>
      <c r="H1286" s="1" t="str">
        <f>IF(A1286&lt;31,"18-30",IF(A1286&lt;46,"31-45",IF(A1286&lt;61,"46-60","60+")))</f>
        <v>60+</v>
      </c>
      <c r="I1286" t="str">
        <f>IF(C1286&lt;18.5,"Underweight",IF(C1286&lt;25,"Normal",IF(C1286&lt;30,"Overweight","Obese")))</f>
        <v>Obese</v>
      </c>
      <c r="J1286">
        <f>IF(E1286="yes",1,0)</f>
        <v>1</v>
      </c>
      <c r="K1286" t="str">
        <f>IF(G1286&gt;15000,"High","Low")</f>
        <v>High</v>
      </c>
    </row>
    <row r="1287" spans="1:11" x14ac:dyDescent="0.35">
      <c r="A1287">
        <v>47</v>
      </c>
      <c r="B1287" t="s">
        <v>2</v>
      </c>
      <c r="C1287">
        <v>24.32</v>
      </c>
      <c r="D1287">
        <v>0</v>
      </c>
      <c r="E1287" t="s">
        <v>4</v>
      </c>
      <c r="F1287" t="s">
        <v>6</v>
      </c>
      <c r="G1287" s="2">
        <v>8534.6718000000001</v>
      </c>
      <c r="H1287" s="1" t="str">
        <f>IF(A1287&lt;31,"18-30",IF(A1287&lt;46,"31-45",IF(A1287&lt;61,"46-60","60+")))</f>
        <v>46-60</v>
      </c>
      <c r="I1287" t="str">
        <f>IF(C1287&lt;18.5,"Underweight",IF(C1287&lt;25,"Normal",IF(C1287&lt;30,"Overweight","Obese")))</f>
        <v>Normal</v>
      </c>
      <c r="J1287">
        <f>IF(E1287="yes",1,0)</f>
        <v>0</v>
      </c>
      <c r="K1287" t="str">
        <f>IF(G1287&gt;15000,"High","Low")</f>
        <v>Low</v>
      </c>
    </row>
    <row r="1288" spans="1:11" x14ac:dyDescent="0.35">
      <c r="A1288">
        <v>28</v>
      </c>
      <c r="B1288" t="s">
        <v>2</v>
      </c>
      <c r="C1288">
        <v>17.29</v>
      </c>
      <c r="D1288">
        <v>0</v>
      </c>
      <c r="E1288" t="s">
        <v>4</v>
      </c>
      <c r="F1288" t="s">
        <v>6</v>
      </c>
      <c r="G1288" s="2">
        <v>3732.6251000000002</v>
      </c>
      <c r="H1288" s="1" t="str">
        <f>IF(A1288&lt;31,"18-30",IF(A1288&lt;46,"31-45",IF(A1288&lt;61,"46-60","60+")))</f>
        <v>18-30</v>
      </c>
      <c r="I1288" t="str">
        <f>IF(C1288&lt;18.5,"Underweight",IF(C1288&lt;25,"Normal",IF(C1288&lt;30,"Overweight","Obese")))</f>
        <v>Underweight</v>
      </c>
      <c r="J1288">
        <f>IF(E1288="yes",1,0)</f>
        <v>0</v>
      </c>
      <c r="K1288" t="str">
        <f>IF(G1288&gt;15000,"High","Low")</f>
        <v>Low</v>
      </c>
    </row>
    <row r="1289" spans="1:11" x14ac:dyDescent="0.35">
      <c r="A1289">
        <v>36</v>
      </c>
      <c r="B1289" t="s">
        <v>2</v>
      </c>
      <c r="C1289">
        <v>25.9</v>
      </c>
      <c r="D1289">
        <v>1</v>
      </c>
      <c r="E1289" t="s">
        <v>4</v>
      </c>
      <c r="F1289" t="s">
        <v>3</v>
      </c>
      <c r="G1289" s="2">
        <v>5472.4489999999996</v>
      </c>
      <c r="H1289" s="1" t="str">
        <f>IF(A1289&lt;31,"18-30",IF(A1289&lt;46,"31-45",IF(A1289&lt;61,"46-60","60+")))</f>
        <v>31-45</v>
      </c>
      <c r="I1289" t="str">
        <f>IF(C1289&lt;18.5,"Underweight",IF(C1289&lt;25,"Normal",IF(C1289&lt;30,"Overweight","Obese")))</f>
        <v>Overweight</v>
      </c>
      <c r="J1289">
        <f>IF(E1289="yes",1,0)</f>
        <v>0</v>
      </c>
      <c r="K1289" t="str">
        <f>IF(G1289&gt;15000,"High","Low")</f>
        <v>Low</v>
      </c>
    </row>
    <row r="1290" spans="1:11" x14ac:dyDescent="0.35">
      <c r="A1290">
        <v>20</v>
      </c>
      <c r="B1290" t="s">
        <v>7</v>
      </c>
      <c r="C1290">
        <v>39.4</v>
      </c>
      <c r="D1290">
        <v>2</v>
      </c>
      <c r="E1290" t="s">
        <v>1</v>
      </c>
      <c r="F1290" t="s">
        <v>3</v>
      </c>
      <c r="G1290" s="2">
        <v>38344.565999999999</v>
      </c>
      <c r="H1290" s="1" t="str">
        <f>IF(A1290&lt;31,"18-30",IF(A1290&lt;46,"31-45",IF(A1290&lt;61,"46-60","60+")))</f>
        <v>18-30</v>
      </c>
      <c r="I1290" t="str">
        <f>IF(C1290&lt;18.5,"Underweight",IF(C1290&lt;25,"Normal",IF(C1290&lt;30,"Overweight","Obese")))</f>
        <v>Obese</v>
      </c>
      <c r="J1290">
        <f>IF(E1290="yes",1,0)</f>
        <v>1</v>
      </c>
      <c r="K1290" t="str">
        <f>IF(G1290&gt;15000,"High","Low")</f>
        <v>High</v>
      </c>
    </row>
    <row r="1291" spans="1:11" x14ac:dyDescent="0.35">
      <c r="A1291">
        <v>44</v>
      </c>
      <c r="B1291" t="s">
        <v>7</v>
      </c>
      <c r="C1291">
        <v>34.32</v>
      </c>
      <c r="D1291">
        <v>1</v>
      </c>
      <c r="E1291" t="s">
        <v>4</v>
      </c>
      <c r="F1291" t="s">
        <v>5</v>
      </c>
      <c r="G1291" s="2">
        <v>7147.4727999999996</v>
      </c>
      <c r="H1291" s="1" t="str">
        <f>IF(A1291&lt;31,"18-30",IF(A1291&lt;46,"31-45",IF(A1291&lt;61,"46-60","60+")))</f>
        <v>31-45</v>
      </c>
      <c r="I1291" t="str">
        <f>IF(C1291&lt;18.5,"Underweight",IF(C1291&lt;25,"Normal",IF(C1291&lt;30,"Overweight","Obese")))</f>
        <v>Obese</v>
      </c>
      <c r="J1291">
        <f>IF(E1291="yes",1,0)</f>
        <v>0</v>
      </c>
      <c r="K1291" t="str">
        <f>IF(G1291&gt;15000,"High","Low")</f>
        <v>Low</v>
      </c>
    </row>
    <row r="1292" spans="1:11" x14ac:dyDescent="0.35">
      <c r="A1292">
        <v>38</v>
      </c>
      <c r="B1292" t="s">
        <v>2</v>
      </c>
      <c r="C1292">
        <v>19.95</v>
      </c>
      <c r="D1292">
        <v>2</v>
      </c>
      <c r="E1292" t="s">
        <v>4</v>
      </c>
      <c r="F1292" t="s">
        <v>6</v>
      </c>
      <c r="G1292" s="2">
        <v>7133.9025000000001</v>
      </c>
      <c r="H1292" s="1" t="str">
        <f>IF(A1292&lt;31,"18-30",IF(A1292&lt;46,"31-45",IF(A1292&lt;61,"46-60","60+")))</f>
        <v>31-45</v>
      </c>
      <c r="I1292" t="str">
        <f>IF(C1292&lt;18.5,"Underweight",IF(C1292&lt;25,"Normal",IF(C1292&lt;30,"Overweight","Obese")))</f>
        <v>Normal</v>
      </c>
      <c r="J1292">
        <f>IF(E1292="yes",1,0)</f>
        <v>0</v>
      </c>
      <c r="K1292" t="str">
        <f>IF(G1292&gt;15000,"High","Low")</f>
        <v>Low</v>
      </c>
    </row>
    <row r="1293" spans="1:11" x14ac:dyDescent="0.35">
      <c r="A1293">
        <v>19</v>
      </c>
      <c r="B1293" t="s">
        <v>7</v>
      </c>
      <c r="C1293">
        <v>34.9</v>
      </c>
      <c r="D1293">
        <v>0</v>
      </c>
      <c r="E1293" t="s">
        <v>1</v>
      </c>
      <c r="F1293" t="s">
        <v>3</v>
      </c>
      <c r="G1293" s="2">
        <v>34828.654000000002</v>
      </c>
      <c r="H1293" s="1" t="str">
        <f>IF(A1293&lt;31,"18-30",IF(A1293&lt;46,"31-45",IF(A1293&lt;61,"46-60","60+")))</f>
        <v>18-30</v>
      </c>
      <c r="I1293" t="str">
        <f>IF(C1293&lt;18.5,"Underweight",IF(C1293&lt;25,"Normal",IF(C1293&lt;30,"Overweight","Obese")))</f>
        <v>Obese</v>
      </c>
      <c r="J1293">
        <f>IF(E1293="yes",1,0)</f>
        <v>1</v>
      </c>
      <c r="K1293" t="str">
        <f>IF(G1293&gt;15000,"High","Low")</f>
        <v>High</v>
      </c>
    </row>
    <row r="1294" spans="1:11" x14ac:dyDescent="0.35">
      <c r="A1294">
        <v>21</v>
      </c>
      <c r="B1294" t="s">
        <v>7</v>
      </c>
      <c r="C1294">
        <v>23.21</v>
      </c>
      <c r="D1294">
        <v>0</v>
      </c>
      <c r="E1294" t="s">
        <v>4</v>
      </c>
      <c r="F1294" t="s">
        <v>5</v>
      </c>
      <c r="G1294" s="2">
        <v>1515.3449000000001</v>
      </c>
      <c r="H1294" s="1" t="str">
        <f>IF(A1294&lt;31,"18-30",IF(A1294&lt;46,"31-45",IF(A1294&lt;61,"46-60","60+")))</f>
        <v>18-30</v>
      </c>
      <c r="I1294" t="str">
        <f>IF(C1294&lt;18.5,"Underweight",IF(C1294&lt;25,"Normal",IF(C1294&lt;30,"Overweight","Obese")))</f>
        <v>Normal</v>
      </c>
      <c r="J1294">
        <f>IF(E1294="yes",1,0)</f>
        <v>0</v>
      </c>
      <c r="K1294" t="str">
        <f>IF(G1294&gt;15000,"High","Low")</f>
        <v>Low</v>
      </c>
    </row>
    <row r="1295" spans="1:11" x14ac:dyDescent="0.35">
      <c r="A1295">
        <v>46</v>
      </c>
      <c r="B1295" t="s">
        <v>7</v>
      </c>
      <c r="C1295">
        <v>25.745000000000001</v>
      </c>
      <c r="D1295">
        <v>3</v>
      </c>
      <c r="E1295" t="s">
        <v>4</v>
      </c>
      <c r="F1295" t="s">
        <v>0</v>
      </c>
      <c r="G1295" s="2">
        <v>9301.8935500000007</v>
      </c>
      <c r="H1295" s="1" t="str">
        <f>IF(A1295&lt;31,"18-30",IF(A1295&lt;46,"31-45",IF(A1295&lt;61,"46-60","60+")))</f>
        <v>46-60</v>
      </c>
      <c r="I1295" t="str">
        <f>IF(C1295&lt;18.5,"Underweight",IF(C1295&lt;25,"Normal",IF(C1295&lt;30,"Overweight","Obese")))</f>
        <v>Overweight</v>
      </c>
      <c r="J1295">
        <f>IF(E1295="yes",1,0)</f>
        <v>0</v>
      </c>
      <c r="K1295" t="str">
        <f>IF(G1295&gt;15000,"High","Low")</f>
        <v>Low</v>
      </c>
    </row>
    <row r="1296" spans="1:11" x14ac:dyDescent="0.35">
      <c r="A1296">
        <v>58</v>
      </c>
      <c r="B1296" t="s">
        <v>7</v>
      </c>
      <c r="C1296">
        <v>25.175000000000001</v>
      </c>
      <c r="D1296">
        <v>0</v>
      </c>
      <c r="E1296" t="s">
        <v>4</v>
      </c>
      <c r="F1296" t="s">
        <v>6</v>
      </c>
      <c r="G1296" s="2">
        <v>11931.125249999999</v>
      </c>
      <c r="H1296" s="1" t="str">
        <f>IF(A1296&lt;31,"18-30",IF(A1296&lt;46,"31-45",IF(A1296&lt;61,"46-60","60+")))</f>
        <v>46-60</v>
      </c>
      <c r="I1296" t="str">
        <f>IF(C1296&lt;18.5,"Underweight",IF(C1296&lt;25,"Normal",IF(C1296&lt;30,"Overweight","Obese")))</f>
        <v>Overweight</v>
      </c>
      <c r="J1296">
        <f>IF(E1296="yes",1,0)</f>
        <v>0</v>
      </c>
      <c r="K1296" t="str">
        <f>IF(G1296&gt;15000,"High","Low")</f>
        <v>Low</v>
      </c>
    </row>
    <row r="1297" spans="1:11" x14ac:dyDescent="0.35">
      <c r="A1297">
        <v>20</v>
      </c>
      <c r="B1297" t="s">
        <v>7</v>
      </c>
      <c r="C1297">
        <v>22</v>
      </c>
      <c r="D1297">
        <v>1</v>
      </c>
      <c r="E1297" t="s">
        <v>4</v>
      </c>
      <c r="F1297" t="s">
        <v>3</v>
      </c>
      <c r="G1297" s="2">
        <v>1964.78</v>
      </c>
      <c r="H1297" s="1" t="str">
        <f>IF(A1297&lt;31,"18-30",IF(A1297&lt;46,"31-45",IF(A1297&lt;61,"46-60","60+")))</f>
        <v>18-30</v>
      </c>
      <c r="I1297" t="str">
        <f>IF(C1297&lt;18.5,"Underweight",IF(C1297&lt;25,"Normal",IF(C1297&lt;30,"Overweight","Obese")))</f>
        <v>Normal</v>
      </c>
      <c r="J1297">
        <f>IF(E1297="yes",1,0)</f>
        <v>0</v>
      </c>
      <c r="K1297" t="str">
        <f>IF(G1297&gt;15000,"High","Low")</f>
        <v>Low</v>
      </c>
    </row>
    <row r="1298" spans="1:11" x14ac:dyDescent="0.35">
      <c r="A1298">
        <v>18</v>
      </c>
      <c r="B1298" t="s">
        <v>7</v>
      </c>
      <c r="C1298">
        <v>26.125</v>
      </c>
      <c r="D1298">
        <v>0</v>
      </c>
      <c r="E1298" t="s">
        <v>4</v>
      </c>
      <c r="F1298" t="s">
        <v>6</v>
      </c>
      <c r="G1298" s="2">
        <v>1708.9257500000001</v>
      </c>
      <c r="H1298" s="1" t="str">
        <f>IF(A1298&lt;31,"18-30",IF(A1298&lt;46,"31-45",IF(A1298&lt;61,"46-60","60+")))</f>
        <v>18-30</v>
      </c>
      <c r="I1298" t="str">
        <f>IF(C1298&lt;18.5,"Underweight",IF(C1298&lt;25,"Normal",IF(C1298&lt;30,"Overweight","Obese")))</f>
        <v>Overweight</v>
      </c>
      <c r="J1298">
        <f>IF(E1298="yes",1,0)</f>
        <v>0</v>
      </c>
      <c r="K1298" t="str">
        <f>IF(G1298&gt;15000,"High","Low")</f>
        <v>Low</v>
      </c>
    </row>
    <row r="1299" spans="1:11" x14ac:dyDescent="0.35">
      <c r="A1299">
        <v>28</v>
      </c>
      <c r="B1299" t="s">
        <v>2</v>
      </c>
      <c r="C1299">
        <v>26.51</v>
      </c>
      <c r="D1299">
        <v>2</v>
      </c>
      <c r="E1299" t="s">
        <v>4</v>
      </c>
      <c r="F1299" t="s">
        <v>5</v>
      </c>
      <c r="G1299" s="2">
        <v>4340.4408999999996</v>
      </c>
      <c r="H1299" s="1" t="str">
        <f>IF(A1299&lt;31,"18-30",IF(A1299&lt;46,"31-45",IF(A1299&lt;61,"46-60","60+")))</f>
        <v>18-30</v>
      </c>
      <c r="I1299" t="str">
        <f>IF(C1299&lt;18.5,"Underweight",IF(C1299&lt;25,"Normal",IF(C1299&lt;30,"Overweight","Obese")))</f>
        <v>Overweight</v>
      </c>
      <c r="J1299">
        <f>IF(E1299="yes",1,0)</f>
        <v>0</v>
      </c>
      <c r="K1299" t="str">
        <f>IF(G1299&gt;15000,"High","Low")</f>
        <v>Low</v>
      </c>
    </row>
    <row r="1300" spans="1:11" x14ac:dyDescent="0.35">
      <c r="A1300">
        <v>33</v>
      </c>
      <c r="B1300" t="s">
        <v>7</v>
      </c>
      <c r="C1300">
        <v>27.454999999999998</v>
      </c>
      <c r="D1300">
        <v>2</v>
      </c>
      <c r="E1300" t="s">
        <v>4</v>
      </c>
      <c r="F1300" t="s">
        <v>0</v>
      </c>
      <c r="G1300" s="2">
        <v>5261.4694499999996</v>
      </c>
      <c r="H1300" s="1" t="str">
        <f>IF(A1300&lt;31,"18-30",IF(A1300&lt;46,"31-45",IF(A1300&lt;61,"46-60","60+")))</f>
        <v>31-45</v>
      </c>
      <c r="I1300" t="str">
        <f>IF(C1300&lt;18.5,"Underweight",IF(C1300&lt;25,"Normal",IF(C1300&lt;30,"Overweight","Obese")))</f>
        <v>Overweight</v>
      </c>
      <c r="J1300">
        <f>IF(E1300="yes",1,0)</f>
        <v>0</v>
      </c>
      <c r="K1300" t="str">
        <f>IF(G1300&gt;15000,"High","Low")</f>
        <v>Low</v>
      </c>
    </row>
    <row r="1301" spans="1:11" x14ac:dyDescent="0.35">
      <c r="A1301">
        <v>19</v>
      </c>
      <c r="B1301" t="s">
        <v>2</v>
      </c>
      <c r="C1301">
        <v>25.745000000000001</v>
      </c>
      <c r="D1301">
        <v>1</v>
      </c>
      <c r="E1301" t="s">
        <v>4</v>
      </c>
      <c r="F1301" t="s">
        <v>0</v>
      </c>
      <c r="G1301" s="2">
        <v>2710.8285500000002</v>
      </c>
      <c r="H1301" s="1" t="str">
        <f>IF(A1301&lt;31,"18-30",IF(A1301&lt;46,"31-45",IF(A1301&lt;61,"46-60","60+")))</f>
        <v>18-30</v>
      </c>
      <c r="I1301" t="str">
        <f>IF(C1301&lt;18.5,"Underweight",IF(C1301&lt;25,"Normal",IF(C1301&lt;30,"Overweight","Obese")))</f>
        <v>Overweight</v>
      </c>
      <c r="J1301">
        <f>IF(E1301="yes",1,0)</f>
        <v>0</v>
      </c>
      <c r="K1301" t="str">
        <f>IF(G1301&gt;15000,"High","Low")</f>
        <v>Low</v>
      </c>
    </row>
    <row r="1302" spans="1:11" x14ac:dyDescent="0.35">
      <c r="A1302">
        <v>45</v>
      </c>
      <c r="B1302" t="s">
        <v>7</v>
      </c>
      <c r="C1302">
        <v>30.36</v>
      </c>
      <c r="D1302">
        <v>0</v>
      </c>
      <c r="E1302" t="s">
        <v>1</v>
      </c>
      <c r="F1302" t="s">
        <v>5</v>
      </c>
      <c r="G1302" s="2">
        <v>62592.873090000001</v>
      </c>
      <c r="H1302" s="1" t="str">
        <f>IF(A1302&lt;31,"18-30",IF(A1302&lt;46,"31-45",IF(A1302&lt;61,"46-60","60+")))</f>
        <v>31-45</v>
      </c>
      <c r="I1302" t="str">
        <f>IF(C1302&lt;18.5,"Underweight",IF(C1302&lt;25,"Normal",IF(C1302&lt;30,"Overweight","Obese")))</f>
        <v>Obese</v>
      </c>
      <c r="J1302">
        <f>IF(E1302="yes",1,0)</f>
        <v>1</v>
      </c>
      <c r="K1302" t="str">
        <f>IF(G1302&gt;15000,"High","Low")</f>
        <v>High</v>
      </c>
    </row>
    <row r="1303" spans="1:11" x14ac:dyDescent="0.35">
      <c r="A1303">
        <v>62</v>
      </c>
      <c r="B1303" t="s">
        <v>7</v>
      </c>
      <c r="C1303">
        <v>30.875</v>
      </c>
      <c r="D1303">
        <v>3</v>
      </c>
      <c r="E1303" t="s">
        <v>1</v>
      </c>
      <c r="F1303" t="s">
        <v>0</v>
      </c>
      <c r="G1303" s="2">
        <v>46718.163249999998</v>
      </c>
      <c r="H1303" s="1" t="str">
        <f>IF(A1303&lt;31,"18-30",IF(A1303&lt;46,"31-45",IF(A1303&lt;61,"46-60","60+")))</f>
        <v>60+</v>
      </c>
      <c r="I1303" t="str">
        <f>IF(C1303&lt;18.5,"Underweight",IF(C1303&lt;25,"Normal",IF(C1303&lt;30,"Overweight","Obese")))</f>
        <v>Obese</v>
      </c>
      <c r="J1303">
        <f>IF(E1303="yes",1,0)</f>
        <v>1</v>
      </c>
      <c r="K1303" t="str">
        <f>IF(G1303&gt;15000,"High","Low")</f>
        <v>High</v>
      </c>
    </row>
    <row r="1304" spans="1:11" x14ac:dyDescent="0.35">
      <c r="A1304">
        <v>25</v>
      </c>
      <c r="B1304" t="s">
        <v>2</v>
      </c>
      <c r="C1304">
        <v>20.8</v>
      </c>
      <c r="D1304">
        <v>1</v>
      </c>
      <c r="E1304" t="s">
        <v>4</v>
      </c>
      <c r="F1304" t="s">
        <v>3</v>
      </c>
      <c r="G1304" s="2">
        <v>3208.7869999999998</v>
      </c>
      <c r="H1304" s="1" t="str">
        <f>IF(A1304&lt;31,"18-30",IF(A1304&lt;46,"31-45",IF(A1304&lt;61,"46-60","60+")))</f>
        <v>18-30</v>
      </c>
      <c r="I1304" t="str">
        <f>IF(C1304&lt;18.5,"Underweight",IF(C1304&lt;25,"Normal",IF(C1304&lt;30,"Overweight","Obese")))</f>
        <v>Normal</v>
      </c>
      <c r="J1304">
        <f>IF(E1304="yes",1,0)</f>
        <v>0</v>
      </c>
      <c r="K1304" t="str">
        <f>IF(G1304&gt;15000,"High","Low")</f>
        <v>Low</v>
      </c>
    </row>
    <row r="1305" spans="1:11" x14ac:dyDescent="0.35">
      <c r="A1305">
        <v>43</v>
      </c>
      <c r="B1305" t="s">
        <v>7</v>
      </c>
      <c r="C1305">
        <v>27.8</v>
      </c>
      <c r="D1305">
        <v>0</v>
      </c>
      <c r="E1305" t="s">
        <v>1</v>
      </c>
      <c r="F1305" t="s">
        <v>3</v>
      </c>
      <c r="G1305" s="2">
        <v>37829.724199999997</v>
      </c>
      <c r="H1305" s="1" t="str">
        <f>IF(A1305&lt;31,"18-30",IF(A1305&lt;46,"31-45",IF(A1305&lt;61,"46-60","60+")))</f>
        <v>31-45</v>
      </c>
      <c r="I1305" t="str">
        <f>IF(C1305&lt;18.5,"Underweight",IF(C1305&lt;25,"Normal",IF(C1305&lt;30,"Overweight","Obese")))</f>
        <v>Overweight</v>
      </c>
      <c r="J1305">
        <f>IF(E1305="yes",1,0)</f>
        <v>1</v>
      </c>
      <c r="K1305" t="str">
        <f>IF(G1305&gt;15000,"High","Low")</f>
        <v>High</v>
      </c>
    </row>
    <row r="1306" spans="1:11" x14ac:dyDescent="0.35">
      <c r="A1306">
        <v>42</v>
      </c>
      <c r="B1306" t="s">
        <v>7</v>
      </c>
      <c r="C1306">
        <v>24.605</v>
      </c>
      <c r="D1306">
        <v>2</v>
      </c>
      <c r="E1306" t="s">
        <v>1</v>
      </c>
      <c r="F1306" t="s">
        <v>6</v>
      </c>
      <c r="G1306" s="2">
        <v>21259.377949999998</v>
      </c>
      <c r="H1306" s="1" t="str">
        <f>IF(A1306&lt;31,"18-30",IF(A1306&lt;46,"31-45",IF(A1306&lt;61,"46-60","60+")))</f>
        <v>31-45</v>
      </c>
      <c r="I1306" t="str">
        <f>IF(C1306&lt;18.5,"Underweight",IF(C1306&lt;25,"Normal",IF(C1306&lt;30,"Overweight","Obese")))</f>
        <v>Normal</v>
      </c>
      <c r="J1306">
        <f>IF(E1306="yes",1,0)</f>
        <v>1</v>
      </c>
      <c r="K1306" t="str">
        <f>IF(G1306&gt;15000,"High","Low")</f>
        <v>High</v>
      </c>
    </row>
    <row r="1307" spans="1:11" x14ac:dyDescent="0.35">
      <c r="A1307">
        <v>24</v>
      </c>
      <c r="B1307" t="s">
        <v>2</v>
      </c>
      <c r="C1307">
        <v>27.72</v>
      </c>
      <c r="D1307">
        <v>0</v>
      </c>
      <c r="E1307" t="s">
        <v>4</v>
      </c>
      <c r="F1307" t="s">
        <v>5</v>
      </c>
      <c r="G1307" s="2">
        <v>2464.6188000000002</v>
      </c>
      <c r="H1307" s="1" t="str">
        <f>IF(A1307&lt;31,"18-30",IF(A1307&lt;46,"31-45",IF(A1307&lt;61,"46-60","60+")))</f>
        <v>18-30</v>
      </c>
      <c r="I1307" t="str">
        <f>IF(C1307&lt;18.5,"Underweight",IF(C1307&lt;25,"Normal",IF(C1307&lt;30,"Overweight","Obese")))</f>
        <v>Overweight</v>
      </c>
      <c r="J1307">
        <f>IF(E1307="yes",1,0)</f>
        <v>0</v>
      </c>
      <c r="K1307" t="str">
        <f>IF(G1307&gt;15000,"High","Low")</f>
        <v>Low</v>
      </c>
    </row>
    <row r="1308" spans="1:11" x14ac:dyDescent="0.35">
      <c r="A1308">
        <v>29</v>
      </c>
      <c r="B1308" t="s">
        <v>2</v>
      </c>
      <c r="C1308">
        <v>21.85</v>
      </c>
      <c r="D1308">
        <v>0</v>
      </c>
      <c r="E1308" t="s">
        <v>1</v>
      </c>
      <c r="F1308" t="s">
        <v>6</v>
      </c>
      <c r="G1308" s="2">
        <v>16115.3045</v>
      </c>
      <c r="H1308" s="1" t="str">
        <f>IF(A1308&lt;31,"18-30",IF(A1308&lt;46,"31-45",IF(A1308&lt;61,"46-60","60+")))</f>
        <v>18-30</v>
      </c>
      <c r="I1308" t="str">
        <f>IF(C1308&lt;18.5,"Underweight",IF(C1308&lt;25,"Normal",IF(C1308&lt;30,"Overweight","Obese")))</f>
        <v>Normal</v>
      </c>
      <c r="J1308">
        <f>IF(E1308="yes",1,0)</f>
        <v>1</v>
      </c>
      <c r="K1308" t="str">
        <f>IF(G1308&gt;15000,"High","Low")</f>
        <v>High</v>
      </c>
    </row>
    <row r="1309" spans="1:11" x14ac:dyDescent="0.35">
      <c r="A1309">
        <v>32</v>
      </c>
      <c r="B1309" t="s">
        <v>7</v>
      </c>
      <c r="C1309">
        <v>28.12</v>
      </c>
      <c r="D1309">
        <v>4</v>
      </c>
      <c r="E1309" t="s">
        <v>1</v>
      </c>
      <c r="F1309" t="s">
        <v>0</v>
      </c>
      <c r="G1309" s="2">
        <v>21472.478800000001</v>
      </c>
      <c r="H1309" s="1" t="str">
        <f>IF(A1309&lt;31,"18-30",IF(A1309&lt;46,"31-45",IF(A1309&lt;61,"46-60","60+")))</f>
        <v>31-45</v>
      </c>
      <c r="I1309" t="str">
        <f>IF(C1309&lt;18.5,"Underweight",IF(C1309&lt;25,"Normal",IF(C1309&lt;30,"Overweight","Obese")))</f>
        <v>Overweight</v>
      </c>
      <c r="J1309">
        <f>IF(E1309="yes",1,0)</f>
        <v>1</v>
      </c>
      <c r="K1309" t="str">
        <f>IF(G1309&gt;15000,"High","Low")</f>
        <v>High</v>
      </c>
    </row>
    <row r="1310" spans="1:11" x14ac:dyDescent="0.35">
      <c r="A1310">
        <v>25</v>
      </c>
      <c r="B1310" t="s">
        <v>2</v>
      </c>
      <c r="C1310">
        <v>30.2</v>
      </c>
      <c r="D1310">
        <v>0</v>
      </c>
      <c r="E1310" t="s">
        <v>1</v>
      </c>
      <c r="F1310" t="s">
        <v>3</v>
      </c>
      <c r="G1310" s="2">
        <v>33900.652999999998</v>
      </c>
      <c r="H1310" s="1" t="str">
        <f>IF(A1310&lt;31,"18-30",IF(A1310&lt;46,"31-45",IF(A1310&lt;61,"46-60","60+")))</f>
        <v>18-30</v>
      </c>
      <c r="I1310" t="str">
        <f>IF(C1310&lt;18.5,"Underweight",IF(C1310&lt;25,"Normal",IF(C1310&lt;30,"Overweight","Obese")))</f>
        <v>Obese</v>
      </c>
      <c r="J1310">
        <f>IF(E1310="yes",1,0)</f>
        <v>1</v>
      </c>
      <c r="K1310" t="str">
        <f>IF(G1310&gt;15000,"High","Low")</f>
        <v>High</v>
      </c>
    </row>
    <row r="1311" spans="1:11" x14ac:dyDescent="0.35">
      <c r="A1311">
        <v>41</v>
      </c>
      <c r="B1311" t="s">
        <v>7</v>
      </c>
      <c r="C1311">
        <v>32.200000000000003</v>
      </c>
      <c r="D1311">
        <v>2</v>
      </c>
      <c r="E1311" t="s">
        <v>4</v>
      </c>
      <c r="F1311" t="s">
        <v>3</v>
      </c>
      <c r="G1311" s="2">
        <v>6875.9610000000002</v>
      </c>
      <c r="H1311" s="1" t="str">
        <f>IF(A1311&lt;31,"18-30",IF(A1311&lt;46,"31-45",IF(A1311&lt;61,"46-60","60+")))</f>
        <v>31-45</v>
      </c>
      <c r="I1311" t="str">
        <f>IF(C1311&lt;18.5,"Underweight",IF(C1311&lt;25,"Normal",IF(C1311&lt;30,"Overweight","Obese")))</f>
        <v>Obese</v>
      </c>
      <c r="J1311">
        <f>IF(E1311="yes",1,0)</f>
        <v>0</v>
      </c>
      <c r="K1311" t="str">
        <f>IF(G1311&gt;15000,"High","Low")</f>
        <v>Low</v>
      </c>
    </row>
    <row r="1312" spans="1:11" x14ac:dyDescent="0.35">
      <c r="A1312">
        <v>42</v>
      </c>
      <c r="B1312" t="s">
        <v>7</v>
      </c>
      <c r="C1312">
        <v>26.315000000000001</v>
      </c>
      <c r="D1312">
        <v>1</v>
      </c>
      <c r="E1312" t="s">
        <v>4</v>
      </c>
      <c r="F1312" t="s">
        <v>0</v>
      </c>
      <c r="G1312" s="2">
        <v>6940.90985</v>
      </c>
      <c r="H1312" s="1" t="str">
        <f>IF(A1312&lt;31,"18-30",IF(A1312&lt;46,"31-45",IF(A1312&lt;61,"46-60","60+")))</f>
        <v>31-45</v>
      </c>
      <c r="I1312" t="str">
        <f>IF(C1312&lt;18.5,"Underweight",IF(C1312&lt;25,"Normal",IF(C1312&lt;30,"Overweight","Obese")))</f>
        <v>Overweight</v>
      </c>
      <c r="J1312">
        <f>IF(E1312="yes",1,0)</f>
        <v>0</v>
      </c>
      <c r="K1312" t="str">
        <f>IF(G1312&gt;15000,"High","Low")</f>
        <v>Low</v>
      </c>
    </row>
    <row r="1313" spans="1:11" x14ac:dyDescent="0.35">
      <c r="A1313">
        <v>33</v>
      </c>
      <c r="B1313" t="s">
        <v>2</v>
      </c>
      <c r="C1313">
        <v>26.695</v>
      </c>
      <c r="D1313">
        <v>0</v>
      </c>
      <c r="E1313" t="s">
        <v>4</v>
      </c>
      <c r="F1313" t="s">
        <v>0</v>
      </c>
      <c r="G1313" s="2">
        <v>4571.4130500000001</v>
      </c>
      <c r="H1313" s="1" t="str">
        <f>IF(A1313&lt;31,"18-30",IF(A1313&lt;46,"31-45",IF(A1313&lt;61,"46-60","60+")))</f>
        <v>31-45</v>
      </c>
      <c r="I1313" t="str">
        <f>IF(C1313&lt;18.5,"Underweight",IF(C1313&lt;25,"Normal",IF(C1313&lt;30,"Overweight","Obese")))</f>
        <v>Overweight</v>
      </c>
      <c r="J1313">
        <f>IF(E1313="yes",1,0)</f>
        <v>0</v>
      </c>
      <c r="K1313" t="str">
        <f>IF(G1313&gt;15000,"High","Low")</f>
        <v>Low</v>
      </c>
    </row>
    <row r="1314" spans="1:11" x14ac:dyDescent="0.35">
      <c r="A1314">
        <v>34</v>
      </c>
      <c r="B1314" t="s">
        <v>7</v>
      </c>
      <c r="C1314">
        <v>42.9</v>
      </c>
      <c r="D1314">
        <v>1</v>
      </c>
      <c r="E1314" t="s">
        <v>4</v>
      </c>
      <c r="F1314" t="s">
        <v>3</v>
      </c>
      <c r="G1314" s="2">
        <v>4536.259</v>
      </c>
      <c r="H1314" s="1" t="str">
        <f>IF(A1314&lt;31,"18-30",IF(A1314&lt;46,"31-45",IF(A1314&lt;61,"46-60","60+")))</f>
        <v>31-45</v>
      </c>
      <c r="I1314" t="str">
        <f>IF(C1314&lt;18.5,"Underweight",IF(C1314&lt;25,"Normal",IF(C1314&lt;30,"Overweight","Obese")))</f>
        <v>Obese</v>
      </c>
      <c r="J1314">
        <f>IF(E1314="yes",1,0)</f>
        <v>0</v>
      </c>
      <c r="K1314" t="str">
        <f>IF(G1314&gt;15000,"High","Low")</f>
        <v>Low</v>
      </c>
    </row>
    <row r="1315" spans="1:11" x14ac:dyDescent="0.35">
      <c r="A1315">
        <v>19</v>
      </c>
      <c r="B1315" t="s">
        <v>2</v>
      </c>
      <c r="C1315">
        <v>34.700000000000003</v>
      </c>
      <c r="D1315">
        <v>2</v>
      </c>
      <c r="E1315" t="s">
        <v>1</v>
      </c>
      <c r="F1315" t="s">
        <v>3</v>
      </c>
      <c r="G1315" s="2">
        <v>36397.576000000001</v>
      </c>
      <c r="H1315" s="1" t="str">
        <f>IF(A1315&lt;31,"18-30",IF(A1315&lt;46,"31-45",IF(A1315&lt;61,"46-60","60+")))</f>
        <v>18-30</v>
      </c>
      <c r="I1315" t="str">
        <f>IF(C1315&lt;18.5,"Underweight",IF(C1315&lt;25,"Normal",IF(C1315&lt;30,"Overweight","Obese")))</f>
        <v>Obese</v>
      </c>
      <c r="J1315">
        <f>IF(E1315="yes",1,0)</f>
        <v>1</v>
      </c>
      <c r="K1315" t="str">
        <f>IF(G1315&gt;15000,"High","Low")</f>
        <v>High</v>
      </c>
    </row>
    <row r="1316" spans="1:11" x14ac:dyDescent="0.35">
      <c r="A1316">
        <v>30</v>
      </c>
      <c r="B1316" t="s">
        <v>2</v>
      </c>
      <c r="C1316">
        <v>23.655000000000001</v>
      </c>
      <c r="D1316">
        <v>3</v>
      </c>
      <c r="E1316" t="s">
        <v>1</v>
      </c>
      <c r="F1316" t="s">
        <v>0</v>
      </c>
      <c r="G1316" s="2">
        <v>18765.87545</v>
      </c>
      <c r="H1316" s="1" t="str">
        <f>IF(A1316&lt;31,"18-30",IF(A1316&lt;46,"31-45",IF(A1316&lt;61,"46-60","60+")))</f>
        <v>18-30</v>
      </c>
      <c r="I1316" t="str">
        <f>IF(C1316&lt;18.5,"Underweight",IF(C1316&lt;25,"Normal",IF(C1316&lt;30,"Overweight","Obese")))</f>
        <v>Normal</v>
      </c>
      <c r="J1316">
        <f>IF(E1316="yes",1,0)</f>
        <v>1</v>
      </c>
      <c r="K1316" t="str">
        <f>IF(G1316&gt;15000,"High","Low")</f>
        <v>High</v>
      </c>
    </row>
    <row r="1317" spans="1:11" x14ac:dyDescent="0.35">
      <c r="A1317">
        <v>18</v>
      </c>
      <c r="B1317" t="s">
        <v>7</v>
      </c>
      <c r="C1317">
        <v>28.31</v>
      </c>
      <c r="D1317">
        <v>1</v>
      </c>
      <c r="E1317" t="s">
        <v>4</v>
      </c>
      <c r="F1317" t="s">
        <v>6</v>
      </c>
      <c r="G1317" s="2">
        <v>11272.331389999999</v>
      </c>
      <c r="H1317" s="1" t="str">
        <f>IF(A1317&lt;31,"18-30",IF(A1317&lt;46,"31-45",IF(A1317&lt;61,"46-60","60+")))</f>
        <v>18-30</v>
      </c>
      <c r="I1317" t="str">
        <f>IF(C1317&lt;18.5,"Underweight",IF(C1317&lt;25,"Normal",IF(C1317&lt;30,"Overweight","Obese")))</f>
        <v>Overweight</v>
      </c>
      <c r="J1317">
        <f>IF(E1317="yes",1,0)</f>
        <v>0</v>
      </c>
      <c r="K1317" t="str">
        <f>IF(G1317&gt;15000,"High","Low")</f>
        <v>Low</v>
      </c>
    </row>
    <row r="1318" spans="1:11" x14ac:dyDescent="0.35">
      <c r="A1318">
        <v>19</v>
      </c>
      <c r="B1318" t="s">
        <v>2</v>
      </c>
      <c r="C1318">
        <v>20.6</v>
      </c>
      <c r="D1318">
        <v>0</v>
      </c>
      <c r="E1318" t="s">
        <v>4</v>
      </c>
      <c r="F1318" t="s">
        <v>3</v>
      </c>
      <c r="G1318" s="2">
        <v>1731.6769999999999</v>
      </c>
      <c r="H1318" s="1" t="str">
        <f>IF(A1318&lt;31,"18-30",IF(A1318&lt;46,"31-45",IF(A1318&lt;61,"46-60","60+")))</f>
        <v>18-30</v>
      </c>
      <c r="I1318" t="str">
        <f>IF(C1318&lt;18.5,"Underweight",IF(C1318&lt;25,"Normal",IF(C1318&lt;30,"Overweight","Obese")))</f>
        <v>Normal</v>
      </c>
      <c r="J1318">
        <f>IF(E1318="yes",1,0)</f>
        <v>0</v>
      </c>
      <c r="K1318" t="str">
        <f>IF(G1318&gt;15000,"High","Low")</f>
        <v>Low</v>
      </c>
    </row>
    <row r="1319" spans="1:11" x14ac:dyDescent="0.35">
      <c r="A1319">
        <v>18</v>
      </c>
      <c r="B1319" t="s">
        <v>7</v>
      </c>
      <c r="C1319">
        <v>53.13</v>
      </c>
      <c r="D1319">
        <v>0</v>
      </c>
      <c r="E1319" t="s">
        <v>4</v>
      </c>
      <c r="F1319" t="s">
        <v>5</v>
      </c>
      <c r="G1319" s="2">
        <v>1163.4627</v>
      </c>
      <c r="H1319" s="1" t="str">
        <f>IF(A1319&lt;31,"18-30",IF(A1319&lt;46,"31-45",IF(A1319&lt;61,"46-60","60+")))</f>
        <v>18-30</v>
      </c>
      <c r="I1319" t="str">
        <f>IF(C1319&lt;18.5,"Underweight",IF(C1319&lt;25,"Normal",IF(C1319&lt;30,"Overweight","Obese")))</f>
        <v>Obese</v>
      </c>
      <c r="J1319">
        <f>IF(E1319="yes",1,0)</f>
        <v>0</v>
      </c>
      <c r="K1319" t="str">
        <f>IF(G1319&gt;15000,"High","Low")</f>
        <v>Low</v>
      </c>
    </row>
    <row r="1320" spans="1:11" x14ac:dyDescent="0.35">
      <c r="A1320">
        <v>35</v>
      </c>
      <c r="B1320" t="s">
        <v>7</v>
      </c>
      <c r="C1320">
        <v>39.71</v>
      </c>
      <c r="D1320">
        <v>4</v>
      </c>
      <c r="E1320" t="s">
        <v>4</v>
      </c>
      <c r="F1320" t="s">
        <v>6</v>
      </c>
      <c r="G1320" s="2">
        <v>19496.71917</v>
      </c>
      <c r="H1320" s="1" t="str">
        <f>IF(A1320&lt;31,"18-30",IF(A1320&lt;46,"31-45",IF(A1320&lt;61,"46-60","60+")))</f>
        <v>31-45</v>
      </c>
      <c r="I1320" t="str">
        <f>IF(C1320&lt;18.5,"Underweight",IF(C1320&lt;25,"Normal",IF(C1320&lt;30,"Overweight","Obese")))</f>
        <v>Obese</v>
      </c>
      <c r="J1320">
        <f>IF(E1320="yes",1,0)</f>
        <v>0</v>
      </c>
      <c r="K1320" t="str">
        <f>IF(G1320&gt;15000,"High","Low")</f>
        <v>High</v>
      </c>
    </row>
    <row r="1321" spans="1:11" x14ac:dyDescent="0.35">
      <c r="A1321">
        <v>39</v>
      </c>
      <c r="B1321" t="s">
        <v>2</v>
      </c>
      <c r="C1321">
        <v>26.315000000000001</v>
      </c>
      <c r="D1321">
        <v>2</v>
      </c>
      <c r="E1321" t="s">
        <v>4</v>
      </c>
      <c r="F1321" t="s">
        <v>0</v>
      </c>
      <c r="G1321" s="2">
        <v>7201.7008500000002</v>
      </c>
      <c r="H1321" s="1" t="str">
        <f>IF(A1321&lt;31,"18-30",IF(A1321&lt;46,"31-45",IF(A1321&lt;61,"46-60","60+")))</f>
        <v>31-45</v>
      </c>
      <c r="I1321" t="str">
        <f>IF(C1321&lt;18.5,"Underweight",IF(C1321&lt;25,"Normal",IF(C1321&lt;30,"Overweight","Obese")))</f>
        <v>Overweight</v>
      </c>
      <c r="J1321">
        <f>IF(E1321="yes",1,0)</f>
        <v>0</v>
      </c>
      <c r="K1321" t="str">
        <f>IF(G1321&gt;15000,"High","Low")</f>
        <v>Low</v>
      </c>
    </row>
    <row r="1322" spans="1:11" x14ac:dyDescent="0.35">
      <c r="A1322">
        <v>31</v>
      </c>
      <c r="B1322" t="s">
        <v>7</v>
      </c>
      <c r="C1322">
        <v>31.065000000000001</v>
      </c>
      <c r="D1322">
        <v>3</v>
      </c>
      <c r="E1322" t="s">
        <v>4</v>
      </c>
      <c r="F1322" t="s">
        <v>0</v>
      </c>
      <c r="G1322" s="2">
        <v>5425.0233500000004</v>
      </c>
      <c r="H1322" s="1" t="str">
        <f>IF(A1322&lt;31,"18-30",IF(A1322&lt;46,"31-45",IF(A1322&lt;61,"46-60","60+")))</f>
        <v>31-45</v>
      </c>
      <c r="I1322" t="str">
        <f>IF(C1322&lt;18.5,"Underweight",IF(C1322&lt;25,"Normal",IF(C1322&lt;30,"Overweight","Obese")))</f>
        <v>Obese</v>
      </c>
      <c r="J1322">
        <f>IF(E1322="yes",1,0)</f>
        <v>0</v>
      </c>
      <c r="K1322" t="str">
        <f>IF(G1322&gt;15000,"High","Low")</f>
        <v>Low</v>
      </c>
    </row>
    <row r="1323" spans="1:11" x14ac:dyDescent="0.35">
      <c r="A1323">
        <v>62</v>
      </c>
      <c r="B1323" t="s">
        <v>7</v>
      </c>
      <c r="C1323">
        <v>26.695</v>
      </c>
      <c r="D1323">
        <v>0</v>
      </c>
      <c r="E1323" t="s">
        <v>1</v>
      </c>
      <c r="F1323" t="s">
        <v>6</v>
      </c>
      <c r="G1323" s="2">
        <v>28101.333050000001</v>
      </c>
      <c r="H1323" s="1" t="str">
        <f>IF(A1323&lt;31,"18-30",IF(A1323&lt;46,"31-45",IF(A1323&lt;61,"46-60","60+")))</f>
        <v>60+</v>
      </c>
      <c r="I1323" t="str">
        <f>IF(C1323&lt;18.5,"Underweight",IF(C1323&lt;25,"Normal",IF(C1323&lt;30,"Overweight","Obese")))</f>
        <v>Overweight</v>
      </c>
      <c r="J1323">
        <f>IF(E1323="yes",1,0)</f>
        <v>1</v>
      </c>
      <c r="K1323" t="str">
        <f>IF(G1323&gt;15000,"High","Low")</f>
        <v>High</v>
      </c>
    </row>
    <row r="1324" spans="1:11" x14ac:dyDescent="0.35">
      <c r="A1324">
        <v>62</v>
      </c>
      <c r="B1324" t="s">
        <v>7</v>
      </c>
      <c r="C1324">
        <v>38.83</v>
      </c>
      <c r="D1324">
        <v>0</v>
      </c>
      <c r="E1324" t="s">
        <v>4</v>
      </c>
      <c r="F1324" t="s">
        <v>5</v>
      </c>
      <c r="G1324" s="2">
        <v>12981.3457</v>
      </c>
      <c r="H1324" s="1" t="str">
        <f>IF(A1324&lt;31,"18-30",IF(A1324&lt;46,"31-45",IF(A1324&lt;61,"46-60","60+")))</f>
        <v>60+</v>
      </c>
      <c r="I1324" t="str">
        <f>IF(C1324&lt;18.5,"Underweight",IF(C1324&lt;25,"Normal",IF(C1324&lt;30,"Overweight","Obese")))</f>
        <v>Obese</v>
      </c>
      <c r="J1324">
        <f>IF(E1324="yes",1,0)</f>
        <v>0</v>
      </c>
      <c r="K1324" t="str">
        <f>IF(G1324&gt;15000,"High","Low")</f>
        <v>Low</v>
      </c>
    </row>
    <row r="1325" spans="1:11" x14ac:dyDescent="0.35">
      <c r="A1325">
        <v>42</v>
      </c>
      <c r="B1325" t="s">
        <v>2</v>
      </c>
      <c r="C1325">
        <v>40.369999999999997</v>
      </c>
      <c r="D1325">
        <v>2</v>
      </c>
      <c r="E1325" t="s">
        <v>1</v>
      </c>
      <c r="F1325" t="s">
        <v>5</v>
      </c>
      <c r="G1325" s="2">
        <v>43896.376300000004</v>
      </c>
      <c r="H1325" s="1" t="str">
        <f>IF(A1325&lt;31,"18-30",IF(A1325&lt;46,"31-45",IF(A1325&lt;61,"46-60","60+")))</f>
        <v>31-45</v>
      </c>
      <c r="I1325" t="str">
        <f>IF(C1325&lt;18.5,"Underweight",IF(C1325&lt;25,"Normal",IF(C1325&lt;30,"Overweight","Obese")))</f>
        <v>Obese</v>
      </c>
      <c r="J1325">
        <f>IF(E1325="yes",1,0)</f>
        <v>1</v>
      </c>
      <c r="K1325" t="str">
        <f>IF(G1325&gt;15000,"High","Low")</f>
        <v>High</v>
      </c>
    </row>
    <row r="1326" spans="1:11" x14ac:dyDescent="0.35">
      <c r="A1326">
        <v>31</v>
      </c>
      <c r="B1326" t="s">
        <v>7</v>
      </c>
      <c r="C1326">
        <v>25.934999999999999</v>
      </c>
      <c r="D1326">
        <v>1</v>
      </c>
      <c r="E1326" t="s">
        <v>4</v>
      </c>
      <c r="F1326" t="s">
        <v>0</v>
      </c>
      <c r="G1326" s="2">
        <v>4239.8926499999998</v>
      </c>
      <c r="H1326" s="1" t="str">
        <f>IF(A1326&lt;31,"18-30",IF(A1326&lt;46,"31-45",IF(A1326&lt;61,"46-60","60+")))</f>
        <v>31-45</v>
      </c>
      <c r="I1326" t="str">
        <f>IF(C1326&lt;18.5,"Underweight",IF(C1326&lt;25,"Normal",IF(C1326&lt;30,"Overweight","Obese")))</f>
        <v>Overweight</v>
      </c>
      <c r="J1326">
        <f>IF(E1326="yes",1,0)</f>
        <v>0</v>
      </c>
      <c r="K1326" t="str">
        <f>IF(G1326&gt;15000,"High","Low")</f>
        <v>Low</v>
      </c>
    </row>
    <row r="1327" spans="1:11" x14ac:dyDescent="0.35">
      <c r="A1327">
        <v>61</v>
      </c>
      <c r="B1327" t="s">
        <v>7</v>
      </c>
      <c r="C1327">
        <v>33.534999999999997</v>
      </c>
      <c r="D1327">
        <v>0</v>
      </c>
      <c r="E1327" t="s">
        <v>4</v>
      </c>
      <c r="F1327" t="s">
        <v>6</v>
      </c>
      <c r="G1327" s="2">
        <v>13143.336649999999</v>
      </c>
      <c r="H1327" s="1" t="str">
        <f>IF(A1327&lt;31,"18-30",IF(A1327&lt;46,"31-45",IF(A1327&lt;61,"46-60","60+")))</f>
        <v>60+</v>
      </c>
      <c r="I1327" t="str">
        <f>IF(C1327&lt;18.5,"Underweight",IF(C1327&lt;25,"Normal",IF(C1327&lt;30,"Overweight","Obese")))</f>
        <v>Obese</v>
      </c>
      <c r="J1327">
        <f>IF(E1327="yes",1,0)</f>
        <v>0</v>
      </c>
      <c r="K1327" t="str">
        <f>IF(G1327&gt;15000,"High","Low")</f>
        <v>Low</v>
      </c>
    </row>
    <row r="1328" spans="1:11" x14ac:dyDescent="0.35">
      <c r="A1328">
        <v>42</v>
      </c>
      <c r="B1328" t="s">
        <v>2</v>
      </c>
      <c r="C1328">
        <v>32.869999999999997</v>
      </c>
      <c r="D1328">
        <v>0</v>
      </c>
      <c r="E1328" t="s">
        <v>4</v>
      </c>
      <c r="F1328" t="s">
        <v>6</v>
      </c>
      <c r="G1328" s="2">
        <v>7050.0213000000003</v>
      </c>
      <c r="H1328" s="1" t="str">
        <f>IF(A1328&lt;31,"18-30",IF(A1328&lt;46,"31-45",IF(A1328&lt;61,"46-60","60+")))</f>
        <v>31-45</v>
      </c>
      <c r="I1328" t="str">
        <f>IF(C1328&lt;18.5,"Underweight",IF(C1328&lt;25,"Normal",IF(C1328&lt;30,"Overweight","Obese")))</f>
        <v>Obese</v>
      </c>
      <c r="J1328">
        <f>IF(E1328="yes",1,0)</f>
        <v>0</v>
      </c>
      <c r="K1328" t="str">
        <f>IF(G1328&gt;15000,"High","Low")</f>
        <v>Low</v>
      </c>
    </row>
    <row r="1329" spans="1:11" x14ac:dyDescent="0.35">
      <c r="A1329">
        <v>51</v>
      </c>
      <c r="B1329" t="s">
        <v>7</v>
      </c>
      <c r="C1329">
        <v>30.03</v>
      </c>
      <c r="D1329">
        <v>1</v>
      </c>
      <c r="E1329" t="s">
        <v>4</v>
      </c>
      <c r="F1329" t="s">
        <v>5</v>
      </c>
      <c r="G1329" s="2">
        <v>9377.9046999999991</v>
      </c>
      <c r="H1329" s="1" t="str">
        <f>IF(A1329&lt;31,"18-30",IF(A1329&lt;46,"31-45",IF(A1329&lt;61,"46-60","60+")))</f>
        <v>46-60</v>
      </c>
      <c r="I1329" t="str">
        <f>IF(C1329&lt;18.5,"Underweight",IF(C1329&lt;25,"Normal",IF(C1329&lt;30,"Overweight","Obese")))</f>
        <v>Obese</v>
      </c>
      <c r="J1329">
        <f>IF(E1329="yes",1,0)</f>
        <v>0</v>
      </c>
      <c r="K1329" t="str">
        <f>IF(G1329&gt;15000,"High","Low")</f>
        <v>Low</v>
      </c>
    </row>
    <row r="1330" spans="1:11" x14ac:dyDescent="0.35">
      <c r="A1330">
        <v>23</v>
      </c>
      <c r="B1330" t="s">
        <v>2</v>
      </c>
      <c r="C1330">
        <v>24.225000000000001</v>
      </c>
      <c r="D1330">
        <v>2</v>
      </c>
      <c r="E1330" t="s">
        <v>4</v>
      </c>
      <c r="F1330" t="s">
        <v>6</v>
      </c>
      <c r="G1330" s="2">
        <v>22395.74424</v>
      </c>
      <c r="H1330" s="1" t="str">
        <f>IF(A1330&lt;31,"18-30",IF(A1330&lt;46,"31-45",IF(A1330&lt;61,"46-60","60+")))</f>
        <v>18-30</v>
      </c>
      <c r="I1330" t="str">
        <f>IF(C1330&lt;18.5,"Underweight",IF(C1330&lt;25,"Normal",IF(C1330&lt;30,"Overweight","Obese")))</f>
        <v>Normal</v>
      </c>
      <c r="J1330">
        <f>IF(E1330="yes",1,0)</f>
        <v>0</v>
      </c>
      <c r="K1330" t="str">
        <f>IF(G1330&gt;15000,"High","Low")</f>
        <v>High</v>
      </c>
    </row>
    <row r="1331" spans="1:11" x14ac:dyDescent="0.35">
      <c r="A1331">
        <v>52</v>
      </c>
      <c r="B1331" t="s">
        <v>7</v>
      </c>
      <c r="C1331">
        <v>38.6</v>
      </c>
      <c r="D1331">
        <v>2</v>
      </c>
      <c r="E1331" t="s">
        <v>4</v>
      </c>
      <c r="F1331" t="s">
        <v>3</v>
      </c>
      <c r="G1331" s="2">
        <v>10325.206</v>
      </c>
      <c r="H1331" s="1" t="str">
        <f>IF(A1331&lt;31,"18-30",IF(A1331&lt;46,"31-45",IF(A1331&lt;61,"46-60","60+")))</f>
        <v>46-60</v>
      </c>
      <c r="I1331" t="str">
        <f>IF(C1331&lt;18.5,"Underweight",IF(C1331&lt;25,"Normal",IF(C1331&lt;30,"Overweight","Obese")))</f>
        <v>Obese</v>
      </c>
      <c r="J1331">
        <f>IF(E1331="yes",1,0)</f>
        <v>0</v>
      </c>
      <c r="K1331" t="str">
        <f>IF(G1331&gt;15000,"High","Low")</f>
        <v>Low</v>
      </c>
    </row>
    <row r="1332" spans="1:11" x14ac:dyDescent="0.35">
      <c r="A1332">
        <v>57</v>
      </c>
      <c r="B1332" t="s">
        <v>2</v>
      </c>
      <c r="C1332">
        <v>25.74</v>
      </c>
      <c r="D1332">
        <v>2</v>
      </c>
      <c r="E1332" t="s">
        <v>4</v>
      </c>
      <c r="F1332" t="s">
        <v>5</v>
      </c>
      <c r="G1332" s="2">
        <v>12629.1656</v>
      </c>
      <c r="H1332" s="1" t="str">
        <f>IF(A1332&lt;31,"18-30",IF(A1332&lt;46,"31-45",IF(A1332&lt;61,"46-60","60+")))</f>
        <v>46-60</v>
      </c>
      <c r="I1332" t="str">
        <f>IF(C1332&lt;18.5,"Underweight",IF(C1332&lt;25,"Normal",IF(C1332&lt;30,"Overweight","Obese")))</f>
        <v>Overweight</v>
      </c>
      <c r="J1332">
        <f>IF(E1332="yes",1,0)</f>
        <v>0</v>
      </c>
      <c r="K1332" t="str">
        <f>IF(G1332&gt;15000,"High","Low")</f>
        <v>Low</v>
      </c>
    </row>
    <row r="1333" spans="1:11" x14ac:dyDescent="0.35">
      <c r="A1333">
        <v>23</v>
      </c>
      <c r="B1333" t="s">
        <v>2</v>
      </c>
      <c r="C1333">
        <v>33.4</v>
      </c>
      <c r="D1333">
        <v>0</v>
      </c>
      <c r="E1333" t="s">
        <v>4</v>
      </c>
      <c r="F1333" t="s">
        <v>3</v>
      </c>
      <c r="G1333" s="2">
        <v>10795.937330000001</v>
      </c>
      <c r="H1333" s="1" t="str">
        <f>IF(A1333&lt;31,"18-30",IF(A1333&lt;46,"31-45",IF(A1333&lt;61,"46-60","60+")))</f>
        <v>18-30</v>
      </c>
      <c r="I1333" t="str">
        <f>IF(C1333&lt;18.5,"Underweight",IF(C1333&lt;25,"Normal",IF(C1333&lt;30,"Overweight","Obese")))</f>
        <v>Obese</v>
      </c>
      <c r="J1333">
        <f>IF(E1333="yes",1,0)</f>
        <v>0</v>
      </c>
      <c r="K1333" t="str">
        <f>IF(G1333&gt;15000,"High","Low")</f>
        <v>Low</v>
      </c>
    </row>
    <row r="1334" spans="1:11" x14ac:dyDescent="0.35">
      <c r="A1334">
        <v>52</v>
      </c>
      <c r="B1334" t="s">
        <v>2</v>
      </c>
      <c r="C1334">
        <v>44.7</v>
      </c>
      <c r="D1334">
        <v>3</v>
      </c>
      <c r="E1334" t="s">
        <v>4</v>
      </c>
      <c r="F1334" t="s">
        <v>3</v>
      </c>
      <c r="G1334" s="2">
        <v>11411.684999999999</v>
      </c>
      <c r="H1334" s="1" t="str">
        <f>IF(A1334&lt;31,"18-30",IF(A1334&lt;46,"31-45",IF(A1334&lt;61,"46-60","60+")))</f>
        <v>46-60</v>
      </c>
      <c r="I1334" t="str">
        <f>IF(C1334&lt;18.5,"Underweight",IF(C1334&lt;25,"Normal",IF(C1334&lt;30,"Overweight","Obese")))</f>
        <v>Obese</v>
      </c>
      <c r="J1334">
        <f>IF(E1334="yes",1,0)</f>
        <v>0</v>
      </c>
      <c r="K1334" t="str">
        <f>IF(G1334&gt;15000,"High","Low")</f>
        <v>Low</v>
      </c>
    </row>
    <row r="1335" spans="1:11" x14ac:dyDescent="0.35">
      <c r="A1335">
        <v>50</v>
      </c>
      <c r="B1335" t="s">
        <v>7</v>
      </c>
      <c r="C1335">
        <v>30.97</v>
      </c>
      <c r="D1335">
        <v>3</v>
      </c>
      <c r="E1335" t="s">
        <v>4</v>
      </c>
      <c r="F1335" t="s">
        <v>0</v>
      </c>
      <c r="G1335" s="2">
        <v>10600.5483</v>
      </c>
      <c r="H1335" s="1" t="str">
        <f>IF(A1335&lt;31,"18-30",IF(A1335&lt;46,"31-45",IF(A1335&lt;61,"46-60","60+")))</f>
        <v>46-60</v>
      </c>
      <c r="I1335" t="str">
        <f>IF(C1335&lt;18.5,"Underweight",IF(C1335&lt;25,"Normal",IF(C1335&lt;30,"Overweight","Obese")))</f>
        <v>Obese</v>
      </c>
      <c r="J1335">
        <f>IF(E1335="yes",1,0)</f>
        <v>0</v>
      </c>
      <c r="K1335" t="str">
        <f>IF(G1335&gt;15000,"High","Low")</f>
        <v>Low</v>
      </c>
    </row>
    <row r="1336" spans="1:11" x14ac:dyDescent="0.35">
      <c r="A1336">
        <v>18</v>
      </c>
      <c r="B1336" t="s">
        <v>2</v>
      </c>
      <c r="C1336">
        <v>31.92</v>
      </c>
      <c r="D1336">
        <v>0</v>
      </c>
      <c r="E1336" t="s">
        <v>4</v>
      </c>
      <c r="F1336" t="s">
        <v>6</v>
      </c>
      <c r="G1336" s="2">
        <v>2205.9807999999998</v>
      </c>
      <c r="H1336" s="1" t="str">
        <f>IF(A1336&lt;31,"18-30",IF(A1336&lt;46,"31-45",IF(A1336&lt;61,"46-60","60+")))</f>
        <v>18-30</v>
      </c>
      <c r="I1336" t="str">
        <f>IF(C1336&lt;18.5,"Underweight",IF(C1336&lt;25,"Normal",IF(C1336&lt;30,"Overweight","Obese")))</f>
        <v>Obese</v>
      </c>
      <c r="J1336">
        <f>IF(E1336="yes",1,0)</f>
        <v>0</v>
      </c>
      <c r="K1336" t="str">
        <f>IF(G1336&gt;15000,"High","Low")</f>
        <v>Low</v>
      </c>
    </row>
    <row r="1337" spans="1:11" x14ac:dyDescent="0.35">
      <c r="A1337">
        <v>18</v>
      </c>
      <c r="B1337" t="s">
        <v>2</v>
      </c>
      <c r="C1337">
        <v>36.85</v>
      </c>
      <c r="D1337">
        <v>0</v>
      </c>
      <c r="E1337" t="s">
        <v>4</v>
      </c>
      <c r="F1337" t="s">
        <v>5</v>
      </c>
      <c r="G1337" s="2">
        <v>1629.8335</v>
      </c>
      <c r="H1337" s="1" t="str">
        <f>IF(A1337&lt;31,"18-30",IF(A1337&lt;46,"31-45",IF(A1337&lt;61,"46-60","60+")))</f>
        <v>18-30</v>
      </c>
      <c r="I1337" t="str">
        <f>IF(C1337&lt;18.5,"Underweight",IF(C1337&lt;25,"Normal",IF(C1337&lt;30,"Overweight","Obese")))</f>
        <v>Obese</v>
      </c>
      <c r="J1337">
        <f>IF(E1337="yes",1,0)</f>
        <v>0</v>
      </c>
      <c r="K1337" t="str">
        <f>IF(G1337&gt;15000,"High","Low")</f>
        <v>Low</v>
      </c>
    </row>
    <row r="1338" spans="1:11" x14ac:dyDescent="0.35">
      <c r="A1338">
        <v>21</v>
      </c>
      <c r="B1338" t="s">
        <v>2</v>
      </c>
      <c r="C1338">
        <v>25.8</v>
      </c>
      <c r="D1338">
        <v>0</v>
      </c>
      <c r="E1338" t="s">
        <v>4</v>
      </c>
      <c r="F1338" t="s">
        <v>3</v>
      </c>
      <c r="G1338" s="2">
        <v>2007.9449999999999</v>
      </c>
      <c r="H1338" s="1" t="str">
        <f>IF(A1338&lt;31,"18-30",IF(A1338&lt;46,"31-45",IF(A1338&lt;61,"46-60","60+")))</f>
        <v>18-30</v>
      </c>
      <c r="I1338" t="str">
        <f>IF(C1338&lt;18.5,"Underweight",IF(C1338&lt;25,"Normal",IF(C1338&lt;30,"Overweight","Obese")))</f>
        <v>Overweight</v>
      </c>
      <c r="J1338">
        <f>IF(E1338="yes",1,0)</f>
        <v>0</v>
      </c>
      <c r="K1338" t="str">
        <f>IF(G1338&gt;15000,"High","Low")</f>
        <v>Low</v>
      </c>
    </row>
    <row r="1339" spans="1:11" x14ac:dyDescent="0.35">
      <c r="A1339">
        <v>61</v>
      </c>
      <c r="B1339" t="s">
        <v>2</v>
      </c>
      <c r="C1339">
        <v>29.07</v>
      </c>
      <c r="D1339">
        <v>0</v>
      </c>
      <c r="E1339" t="s">
        <v>1</v>
      </c>
      <c r="F1339" t="s">
        <v>0</v>
      </c>
      <c r="G1339" s="2">
        <v>29141.3603</v>
      </c>
      <c r="H1339" s="1" t="str">
        <f>IF(A1339&lt;31,"18-30",IF(A1339&lt;46,"31-45",IF(A1339&lt;61,"46-60","60+")))</f>
        <v>60+</v>
      </c>
      <c r="I1339" t="str">
        <f>IF(C1339&lt;18.5,"Underweight",IF(C1339&lt;25,"Normal",IF(C1339&lt;30,"Overweight","Obese")))</f>
        <v>Overweight</v>
      </c>
      <c r="J1339">
        <f>IF(E1339="yes",1,0)</f>
        <v>1</v>
      </c>
      <c r="K1339" t="str">
        <f>IF(G1339&gt;15000,"High","Low")</f>
        <v>High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Insurance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SAHEED AFOLABI</dc:creator>
  <cp:lastModifiedBy>SAHEED AFOLABI</cp:lastModifiedBy>
  <dcterms:created xsi:type="dcterms:W3CDTF">2026-05-12T15:54:51Z</dcterms:created>
  <dcterms:modified xsi:type="dcterms:W3CDTF">2026-05-12T15:56:32Z</dcterms:modified>
</cp:coreProperties>
</file>